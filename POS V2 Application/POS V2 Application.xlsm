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Training\Excel\Aplikasi POS V2\"/>
    </mc:Choice>
  </mc:AlternateContent>
  <xr:revisionPtr revIDLastSave="0" documentId="13_ncr:1_{E8612DAA-FC1E-4F64-BF15-96BB2AACC025}" xr6:coauthVersionLast="47" xr6:coauthVersionMax="47" xr10:uidLastSave="{00000000-0000-0000-0000-000000000000}"/>
  <bookViews>
    <workbookView xWindow="-120" yWindow="-120" windowWidth="20730" windowHeight="11160" xr2:uid="{310CCC81-FAE3-40A6-A0FD-21C185ABEADA}"/>
  </bookViews>
  <sheets>
    <sheet name="Transaksi" sheetId="1" r:id="rId1"/>
    <sheet name="Dashboard" sheetId="9" r:id="rId2"/>
    <sheet name="LaporanTransaksi" sheetId="4" r:id="rId3"/>
    <sheet name="DataBaseBarang" sheetId="2" r:id="rId4"/>
    <sheet name="Supplier" sheetId="5" r:id="rId5"/>
    <sheet name="Customer" sheetId="3" r:id="rId6"/>
    <sheet name="DataToko" sheetId="6" r:id="rId7"/>
    <sheet name="Struk" sheetId="7" r:id="rId8"/>
    <sheet name="StockUpdate" sheetId="8" r:id="rId9"/>
  </sheets>
  <definedNames>
    <definedName name="_xlnm._FilterDatabase" localSheetId="5" hidden="1">Customer!$A$4:$E$8</definedName>
    <definedName name="_xlnm._FilterDatabase" localSheetId="3" hidden="1">DataBaseBarang!$A$4:$G$7</definedName>
    <definedName name="_xlnm._FilterDatabase" localSheetId="2" hidden="1">LaporanTransaksi!$A$4:$K$40</definedName>
    <definedName name="_xlnm._FilterDatabase" localSheetId="4" hidden="1">Supplier!$A$4:$D$7</definedName>
    <definedName name="_xlnm.Criteria" localSheetId="5">Customer!$G$4:$G$5</definedName>
    <definedName name="_xlnm.Criteria" localSheetId="3">DataBaseBarang!$I$4:$I$5</definedName>
    <definedName name="_xlnm.Criteria" localSheetId="2">LaporanTransaksi!$M$4:$N$5</definedName>
    <definedName name="_xlnm.Criteria" localSheetId="4">Supplier!$F$4:$F$5</definedName>
    <definedName name="DataCostumer">OFFSET(Customer!$B$5,0,0,COUNTA(Customer!$B$5:$B$6000),4)</definedName>
    <definedName name="_xlnm.Extract" localSheetId="5">Customer!$I$4:$M$4</definedName>
    <definedName name="_xlnm.Extract" localSheetId="3">DataBaseBarang!$K$4:$Q$4</definedName>
    <definedName name="_xlnm.Extract" localSheetId="2">LaporanTransaksi!$P$4:$Z$4</definedName>
    <definedName name="_xlnm.Extract" localSheetId="4">Supplier!$H$4:$K$4</definedName>
    <definedName name="NAMACOSTUMER">OFFSET(Customer!$B$5,0,0,COUNTA(Customer!$B$5:$B$6000),1)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1" i="1" l="1"/>
  <c r="B3" i="9" s="1"/>
  <c r="H5" i="9" s="1"/>
  <c r="G5" i="9" s="1"/>
  <c r="F5" i="9" s="1"/>
  <c r="E5" i="9" s="1"/>
  <c r="D5" i="9" s="1"/>
  <c r="C5" i="9" s="1"/>
  <c r="B5" i="9" s="1"/>
  <c r="B7" i="9" s="1"/>
  <c r="B15" i="9"/>
  <c r="B12" i="9"/>
  <c r="B10" i="9"/>
  <c r="D29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12" i="7"/>
  <c r="C4" i="7"/>
  <c r="C5" i="7"/>
  <c r="A1" i="7"/>
  <c r="A2" i="7"/>
  <c r="C2" i="4"/>
  <c r="P13" i="1"/>
  <c r="H15" i="1"/>
  <c r="C9" i="7" s="1"/>
  <c r="H14" i="1"/>
  <c r="C8" i="7" s="1"/>
  <c r="H11" i="1"/>
  <c r="C6" i="7" s="1"/>
  <c r="P10" i="1"/>
  <c r="Q10" i="1"/>
  <c r="P11" i="1"/>
  <c r="Q11" i="1"/>
  <c r="P12" i="1"/>
  <c r="Q12" i="1"/>
  <c r="P14" i="1"/>
  <c r="Q14" i="1"/>
  <c r="D16" i="7" s="1"/>
  <c r="P15" i="1"/>
  <c r="Q15" i="1"/>
  <c r="D17" i="7" s="1"/>
  <c r="P16" i="1"/>
  <c r="Q16" i="1"/>
  <c r="D18" i="7" s="1"/>
  <c r="P17" i="1"/>
  <c r="Q17" i="1"/>
  <c r="D19" i="7" s="1"/>
  <c r="P18" i="1"/>
  <c r="Q18" i="1"/>
  <c r="D20" i="7" s="1"/>
  <c r="P19" i="1"/>
  <c r="Q19" i="1"/>
  <c r="D21" i="7" s="1"/>
  <c r="P20" i="1"/>
  <c r="Q20" i="1"/>
  <c r="D22" i="7" s="1"/>
  <c r="P21" i="1"/>
  <c r="Q21" i="1"/>
  <c r="D23" i="7" s="1"/>
  <c r="P22" i="1"/>
  <c r="Q22" i="1"/>
  <c r="D24" i="7" s="1"/>
  <c r="P23" i="1"/>
  <c r="Q23" i="1"/>
  <c r="D25" i="7" s="1"/>
  <c r="P24" i="1"/>
  <c r="Q24" i="1"/>
  <c r="D26" i="7" s="1"/>
  <c r="P25" i="1"/>
  <c r="Q25" i="1"/>
  <c r="D27" i="7" s="1"/>
  <c r="P26" i="1"/>
  <c r="Q26" i="1"/>
  <c r="D28" i="7" s="1"/>
  <c r="Q13" i="1"/>
  <c r="G7" i="9" l="1"/>
  <c r="H7" i="9"/>
  <c r="D15" i="7"/>
  <c r="D14" i="7"/>
  <c r="D13" i="7"/>
  <c r="D12" i="7"/>
  <c r="C33" i="7"/>
  <c r="B9" i="9" l="1"/>
  <c r="B13" i="9"/>
  <c r="F7" i="9" l="1"/>
  <c r="H6" i="9"/>
  <c r="G6" i="9"/>
  <c r="E7" i="9"/>
  <c r="F6" i="9" l="1"/>
  <c r="D7" i="9"/>
  <c r="E6" i="9"/>
  <c r="C7" i="9" l="1"/>
  <c r="D6" i="9"/>
  <c r="C6" i="9" l="1"/>
  <c r="B6" i="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tc={F6D8EC04-5E95-4FCC-9C37-928F24A69728}</author>
  </authors>
  <commentList>
    <comment ref="C5" authorId="0" shapeId="0" xr:uid="{F6D8EC04-5E95-4FCC-9C37-928F24A6972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Buat ukuran kertas menjadi 58 milimeter lebarnya
</t>
      </text>
    </comment>
  </commentList>
</comments>
</file>

<file path=xl/sharedStrings.xml><?xml version="1.0" encoding="utf-8"?>
<sst xmlns="http://schemas.openxmlformats.org/spreadsheetml/2006/main" count="278" uniqueCount="76">
  <si>
    <t>Kode Transaksi</t>
  </si>
  <si>
    <t>Nama Customer</t>
  </si>
  <si>
    <t>Alamat</t>
  </si>
  <si>
    <t>Nomor Telp</t>
  </si>
  <si>
    <t>Email</t>
  </si>
  <si>
    <t>:</t>
  </si>
  <si>
    <t>Id Barang</t>
  </si>
  <si>
    <t>Nama Barang</t>
  </si>
  <si>
    <t>Satuan</t>
  </si>
  <si>
    <t>Jumlah</t>
  </si>
  <si>
    <t>Harga Barang</t>
  </si>
  <si>
    <t>Total Bayar</t>
  </si>
  <si>
    <t>Diskon (%)</t>
  </si>
  <si>
    <t>Diskon (Rp)</t>
  </si>
  <si>
    <t>Kode Barang</t>
  </si>
  <si>
    <t>Harga Beli</t>
  </si>
  <si>
    <t>Stock</t>
  </si>
  <si>
    <t>Diskon</t>
  </si>
  <si>
    <t>Harga Jual</t>
  </si>
  <si>
    <t>Id Costumer</t>
  </si>
  <si>
    <t>Full Name</t>
  </si>
  <si>
    <t>Address</t>
  </si>
  <si>
    <t>Mobile</t>
  </si>
  <si>
    <t>Tanggal</t>
  </si>
  <si>
    <t>Nama Costumer</t>
  </si>
  <si>
    <t>Total Harga</t>
  </si>
  <si>
    <t/>
  </si>
  <si>
    <t>Nomor Transaksi</t>
  </si>
  <si>
    <t>Kode Supplier</t>
  </si>
  <si>
    <t>Nama Supplier</t>
  </si>
  <si>
    <t>No. Telp</t>
  </si>
  <si>
    <t>E-Mail</t>
  </si>
  <si>
    <t>Qty</t>
  </si>
  <si>
    <t>Harga Satuan</t>
  </si>
  <si>
    <t>Total</t>
  </si>
  <si>
    <t>Tunai</t>
  </si>
  <si>
    <t>Kembalian</t>
  </si>
  <si>
    <t>TERIMAKASIH ATAS KUNJUNGAN ANDA</t>
  </si>
  <si>
    <t>Supplier</t>
  </si>
  <si>
    <t>Stock Awal</t>
  </si>
  <si>
    <t>Tambah Stock</t>
  </si>
  <si>
    <t>Total Stock</t>
  </si>
  <si>
    <t>Tabel Data Grafik Penjualan</t>
  </si>
  <si>
    <t>Nilai Bruto Penjualan Pertanggal</t>
  </si>
  <si>
    <t>Nilai Bruto Penjualan Keseluruhan</t>
  </si>
  <si>
    <t>Total Barang Terjual</t>
  </si>
  <si>
    <t>Total Database Barang</t>
  </si>
  <si>
    <t>Total Barang Terjual Pertanggal</t>
  </si>
  <si>
    <t>Toko Shindika</t>
  </si>
  <si>
    <t>Bulakan Balai Kandi</t>
  </si>
  <si>
    <t>zakianur@gmail.com</t>
  </si>
  <si>
    <t>A-0001</t>
  </si>
  <si>
    <t>Gula</t>
  </si>
  <si>
    <t>Kg</t>
  </si>
  <si>
    <t>A-0002</t>
  </si>
  <si>
    <t>Mie Sedap</t>
  </si>
  <si>
    <t>Kotak</t>
  </si>
  <si>
    <t>A-0003</t>
  </si>
  <si>
    <t>Kopi</t>
  </si>
  <si>
    <t>A-0004</t>
  </si>
  <si>
    <t>Teh</t>
  </si>
  <si>
    <t>A-0005</t>
  </si>
  <si>
    <t>Mentega</t>
  </si>
  <si>
    <t>C-0001</t>
  </si>
  <si>
    <t>Budi</t>
  </si>
  <si>
    <t>Payakumbuh</t>
  </si>
  <si>
    <t>budi@gmail.com</t>
  </si>
  <si>
    <t>TRA-10000001</t>
  </si>
  <si>
    <t>085212343211</t>
  </si>
  <si>
    <t>S-0001</t>
  </si>
  <si>
    <t>Toko Cahaya Utama</t>
  </si>
  <si>
    <t>Padang</t>
  </si>
  <si>
    <t>082356417677</t>
  </si>
  <si>
    <t>085215008131</t>
  </si>
  <si>
    <t>TRA-10000002</t>
  </si>
  <si>
    <t>TRA-10000003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</si>
</sst>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[$IDR]\ * #,##0.00_);_([$IDR]\ * \(#,##0.00\);_([$IDR]\ * &quot;-&quot;??_);_(@_)"/>
    <numFmt numFmtId="165" formatCode="dddd\,\ d\ mmmm\ yyyy"/>
    <numFmt numFmtId="166" formatCode="_([$IDR]\ * #,##0_);_([$IDR]\ * \(#,##0\);_([$IDR]\ * &quot;-&quot;_);_(@_)"/>
    <numFmt numFmtId="167" formatCode="[$-F800]dddd\,\ mmmm\ dd\,\ yyyy"/>
    <numFmt numFmtId="168" formatCode="dd/mm/yyyy;@"/>
  </numFmts>
  <fonts count="11">
    <font>
      <sz val="11"/>
      <color theme="1"/>
      <name val="Aptos Narrow"/>
      <family val="2"/>
      <scheme val="minor"/>
    </font>
    <font>
      <sz val="12"/>
      <color rgb="FFFFFF00"/>
      <name val="Posterama"/>
      <family val="2"/>
    </font>
    <font>
      <sz val="11"/>
      <color theme="0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sz val="5"/>
      <color theme="1"/>
      <name val="Arial Narrow"/>
      <family val="2"/>
    </font>
    <font>
      <b/>
      <sz val="8"/>
      <color theme="1"/>
      <name val="Arial Narrow"/>
      <family val="2"/>
    </font>
    <font>
      <b/>
      <sz val="5"/>
      <color theme="1"/>
      <name val="Arial Narrow"/>
      <family val="2"/>
    </font>
    <font>
      <b/>
      <sz val="14"/>
      <color theme="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darkDown">
        <bgColor rgb="FFFFFF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rgb="FFCC9900"/>
      </bottom>
      <diagonal/>
    </border>
    <border>
      <left/>
      <right/>
      <top style="thin">
        <color rgb="FFCC9900"/>
      </top>
      <bottom style="thin">
        <color rgb="FFCC9900"/>
      </bottom>
      <diagonal/>
    </border>
    <border>
      <left/>
      <right/>
      <top style="thin">
        <color rgb="FFCC9900"/>
      </top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63">
    <xf numFmtId="0" fontId="0" fillId="0" borderId="0" xfId="0"/>
    <xf numFmtId="0" fontId="1" fillId="2" borderId="1" xfId="0" applyFont="1" applyFill="1" applyBorder="1"/>
    <xf numFmtId="0" fontId="1" fillId="2" borderId="1" xfId="0" applyFont="1" applyFill="1" applyBorder="1" applyAlignment="1">
      <alignment horizontal="center" vertical="top"/>
    </xf>
    <xf numFmtId="0" fontId="1" fillId="2" borderId="2" xfId="0" applyFont="1" applyFill="1" applyBorder="1"/>
    <xf numFmtId="0" fontId="1" fillId="2" borderId="2" xfId="0" applyFont="1" applyFill="1" applyBorder="1" applyAlignment="1">
      <alignment horizontal="center" vertical="top"/>
    </xf>
    <xf numFmtId="0" fontId="1" fillId="2" borderId="3" xfId="0" applyFont="1" applyFill="1" applyBorder="1"/>
    <xf numFmtId="0" fontId="1" fillId="2" borderId="3" xfId="0" applyFont="1" applyFill="1" applyBorder="1" applyAlignment="1">
      <alignment horizontal="center" vertical="top"/>
    </xf>
    <xf numFmtId="0" fontId="1" fillId="2" borderId="0" xfId="0" applyFont="1" applyFill="1"/>
    <xf numFmtId="0" fontId="0" fillId="3" borderId="6" xfId="0" applyFill="1" applyBorder="1"/>
    <xf numFmtId="0" fontId="0" fillId="3" borderId="0" xfId="0" applyFill="1"/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9" fontId="2" fillId="2" borderId="0" xfId="1" applyFont="1" applyFill="1" applyAlignment="1">
      <alignment horizontal="center" vertical="center"/>
    </xf>
    <xf numFmtId="9" fontId="0" fillId="0" borderId="0" xfId="1" applyFont="1"/>
    <xf numFmtId="164" fontId="0" fillId="0" borderId="4" xfId="0" applyNumberFormat="1" applyBorder="1"/>
    <xf numFmtId="0" fontId="4" fillId="0" borderId="0" xfId="2"/>
    <xf numFmtId="0" fontId="0" fillId="5" borderId="0" xfId="0" applyFill="1" applyAlignment="1">
      <alignment horizontal="center" vertical="center"/>
    </xf>
    <xf numFmtId="0" fontId="6" fillId="4" borderId="0" xfId="0" applyFont="1" applyFill="1"/>
    <xf numFmtId="0" fontId="7" fillId="0" borderId="0" xfId="0" applyFont="1"/>
    <xf numFmtId="0" fontId="7" fillId="0" borderId="0" xfId="0" applyFont="1" applyAlignment="1">
      <alignment horizontal="center"/>
    </xf>
    <xf numFmtId="0" fontId="7" fillId="0" borderId="7" xfId="0" applyFont="1" applyBorder="1"/>
    <xf numFmtId="0" fontId="7" fillId="0" borderId="7" xfId="0" applyFont="1" applyBorder="1" applyAlignment="1">
      <alignment horizontal="center"/>
    </xf>
    <xf numFmtId="0" fontId="7" fillId="0" borderId="0" xfId="0" applyFont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9" fillId="0" borderId="0" xfId="0" applyFont="1"/>
    <xf numFmtId="0" fontId="9" fillId="0" borderId="0" xfId="0" applyFont="1" applyAlignment="1">
      <alignment horizontal="center"/>
    </xf>
    <xf numFmtId="166" fontId="7" fillId="0" borderId="0" xfId="0" applyNumberFormat="1" applyFont="1"/>
    <xf numFmtId="166" fontId="7" fillId="0" borderId="7" xfId="0" applyNumberFormat="1" applyFont="1" applyBorder="1"/>
    <xf numFmtId="14" fontId="0" fillId="0" borderId="0" xfId="0" applyNumberFormat="1"/>
    <xf numFmtId="167" fontId="10" fillId="6" borderId="0" xfId="0" applyNumberFormat="1" applyFont="1" applyFill="1"/>
    <xf numFmtId="0" fontId="0" fillId="0" borderId="8" xfId="0" applyBorder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166" fontId="2" fillId="2" borderId="0" xfId="0" applyNumberFormat="1" applyFont="1" applyFill="1" applyAlignment="1">
      <alignment horizontal="center" vertical="center"/>
    </xf>
    <xf numFmtId="1" fontId="2" fillId="2" borderId="0" xfId="0" applyNumberFormat="1" applyFont="1" applyFill="1" applyAlignment="1">
      <alignment horizontal="center" vertical="center"/>
    </xf>
    <xf numFmtId="14" fontId="2" fillId="2" borderId="8" xfId="0" applyNumberFormat="1" applyFont="1" applyFill="1" applyBorder="1" applyAlignment="1">
      <alignment horizontal="center" vertical="center"/>
    </xf>
    <xf numFmtId="168" fontId="2" fillId="2" borderId="8" xfId="0" applyNumberFormat="1" applyFont="1" applyFill="1" applyBorder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4" xfId="0" applyBorder="1" applyProtection="1">
      <protection locked="0"/>
    </xf>
    <xf numFmtId="164" fontId="0" fillId="0" borderId="4" xfId="0" applyNumberFormat="1" applyBorder="1" applyProtection="1">
      <protection locked="0"/>
    </xf>
    <xf numFmtId="9" fontId="0" fillId="0" borderId="4" xfId="1" applyFont="1" applyBorder="1" applyProtection="1"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5" xfId="0" applyBorder="1" applyProtection="1">
      <protection locked="0"/>
    </xf>
    <xf numFmtId="164" fontId="0" fillId="0" borderId="5" xfId="0" applyNumberFormat="1" applyBorder="1" applyProtection="1">
      <protection locked="0"/>
    </xf>
    <xf numFmtId="9" fontId="0" fillId="0" borderId="5" xfId="1" applyFont="1" applyBorder="1" applyProtection="1">
      <protection locked="0"/>
    </xf>
    <xf numFmtId="0" fontId="1" fillId="2" borderId="1" xfId="0" applyFont="1" applyFill="1" applyBorder="1" applyProtection="1">
      <protection locked="0"/>
    </xf>
    <xf numFmtId="0" fontId="1" fillId="2" borderId="2" xfId="0" applyFont="1" applyFill="1" applyBorder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/>
    <xf numFmtId="49" fontId="2" fillId="2" borderId="0" xfId="0" applyNumberFormat="1" applyFont="1" applyFill="1" applyAlignment="1">
      <alignment horizontal="center" vertical="center"/>
    </xf>
    <xf numFmtId="0" fontId="1" fillId="2" borderId="2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left" vertical="top"/>
    </xf>
    <xf numFmtId="0" fontId="1" fillId="2" borderId="2" xfId="0" applyFont="1" applyFill="1" applyBorder="1" applyAlignment="1">
      <alignment horizontal="center" vertical="top"/>
    </xf>
    <xf numFmtId="0" fontId="0" fillId="7" borderId="0" xfId="0" applyFill="1" applyAlignment="1">
      <alignment horizontal="center" vertical="center"/>
    </xf>
    <xf numFmtId="166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166" fontId="7" fillId="0" borderId="7" xfId="0" applyNumberFormat="1" applyFont="1" applyBorder="1" applyAlignment="1">
      <alignment horizontal="left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65" fontId="9" fillId="0" borderId="7" xfId="0" applyNumberFormat="1" applyFont="1" applyBorder="1" applyAlignment="1">
      <alignment horizontal="left"/>
    </xf>
    <xf numFmtId="0" fontId="7" fillId="0" borderId="0" xfId="0" applyFont="1" applyAlignment="1">
      <alignment horizontal="left"/>
    </xf>
    <xf numFmtId="0" fontId="7" fillId="0" borderId="0" xfId="0" applyFont="1" applyAlignment="1">
      <alignment horizontal="left" vertical="top"/>
    </xf>
    <xf numFmtId="0" fontId="7" fillId="0" borderId="7" xfId="0" applyFont="1" applyBorder="1" applyAlignment="1">
      <alignment horizontal="left"/>
    </xf>
    <xf numFmtId="0" fontId="7" fillId="0" borderId="0" xfId="0" applyFont="1" applyAlignment="1">
      <alignment horizontal="center" vertical="top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Dashboard!$B$6:$H$6</c:f>
              <c:numCache>
                <c:formatCode>General</c:formatCode>
                <c:ptCount val="7"/>
                <c:pt idx="0">
                  <c:v>23</c:v>
                </c:pt>
                <c:pt idx="1">
                  <c:v>24</c:v>
                </c:pt>
                <c:pt idx="2">
                  <c:v>25</c:v>
                </c:pt>
                <c:pt idx="3">
                  <c:v>26</c:v>
                </c:pt>
                <c:pt idx="4">
                  <c:v>27</c:v>
                </c:pt>
                <c:pt idx="5">
                  <c:v>28</c:v>
                </c:pt>
                <c:pt idx="6">
                  <c:v>29</c:v>
                </c:pt>
              </c:numCache>
            </c:numRef>
          </c:cat>
          <c:val>
            <c:numRef>
              <c:f>Dashboard!$B$7:$H$7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0E-41F4-A8E6-EC1779CD1A67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0696832"/>
        <c:axId val="560700432"/>
      </c:lineChart>
      <c:catAx>
        <c:axId val="56069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rgbClr val="FFFF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700432"/>
        <c:crosses val="autoZero"/>
        <c:auto val="1"/>
        <c:lblAlgn val="ctr"/>
        <c:lblOffset val="100"/>
        <c:noMultiLvlLbl val="0"/>
      </c:catAx>
      <c:valAx>
        <c:axId val="5607004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6069683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svg"/><Relationship Id="rId13" Type="http://schemas.openxmlformats.org/officeDocument/2006/relationships/image" Target="../media/image26.png"/><Relationship Id="rId18" Type="http://schemas.openxmlformats.org/officeDocument/2006/relationships/image" Target="../media/image31.svg"/><Relationship Id="rId26" Type="http://schemas.openxmlformats.org/officeDocument/2006/relationships/image" Target="../media/image39.svg"/><Relationship Id="rId3" Type="http://schemas.openxmlformats.org/officeDocument/2006/relationships/image" Target="../media/image16.png"/><Relationship Id="rId21" Type="http://schemas.openxmlformats.org/officeDocument/2006/relationships/image" Target="../media/image34.png"/><Relationship Id="rId7" Type="http://schemas.openxmlformats.org/officeDocument/2006/relationships/image" Target="../media/image20.png"/><Relationship Id="rId12" Type="http://schemas.openxmlformats.org/officeDocument/2006/relationships/image" Target="../media/image25.svg"/><Relationship Id="rId17" Type="http://schemas.openxmlformats.org/officeDocument/2006/relationships/image" Target="../media/image30.png"/><Relationship Id="rId25" Type="http://schemas.openxmlformats.org/officeDocument/2006/relationships/image" Target="../media/image38.png"/><Relationship Id="rId2" Type="http://schemas.openxmlformats.org/officeDocument/2006/relationships/image" Target="../media/image15.svg"/><Relationship Id="rId16" Type="http://schemas.openxmlformats.org/officeDocument/2006/relationships/image" Target="../media/image29.svg"/><Relationship Id="rId20" Type="http://schemas.openxmlformats.org/officeDocument/2006/relationships/image" Target="../media/image33.svg"/><Relationship Id="rId29" Type="http://schemas.openxmlformats.org/officeDocument/2006/relationships/image" Target="../media/image41.svg"/><Relationship Id="rId1" Type="http://schemas.openxmlformats.org/officeDocument/2006/relationships/image" Target="../media/image14.png"/><Relationship Id="rId6" Type="http://schemas.openxmlformats.org/officeDocument/2006/relationships/image" Target="../media/image19.svg"/><Relationship Id="rId11" Type="http://schemas.openxmlformats.org/officeDocument/2006/relationships/image" Target="../media/image24.png"/><Relationship Id="rId24" Type="http://schemas.openxmlformats.org/officeDocument/2006/relationships/image" Target="../media/image37.svg"/><Relationship Id="rId5" Type="http://schemas.openxmlformats.org/officeDocument/2006/relationships/image" Target="../media/image18.png"/><Relationship Id="rId15" Type="http://schemas.openxmlformats.org/officeDocument/2006/relationships/image" Target="../media/image28.png"/><Relationship Id="rId23" Type="http://schemas.openxmlformats.org/officeDocument/2006/relationships/image" Target="../media/image36.png"/><Relationship Id="rId28" Type="http://schemas.openxmlformats.org/officeDocument/2006/relationships/image" Target="../media/image40.png"/><Relationship Id="rId10" Type="http://schemas.openxmlformats.org/officeDocument/2006/relationships/image" Target="../media/image23.svg"/><Relationship Id="rId19" Type="http://schemas.openxmlformats.org/officeDocument/2006/relationships/image" Target="../media/image32.png"/><Relationship Id="rId31" Type="http://schemas.openxmlformats.org/officeDocument/2006/relationships/image" Target="../media/image43.svg"/><Relationship Id="rId4" Type="http://schemas.openxmlformats.org/officeDocument/2006/relationships/image" Target="../media/image17.svg"/><Relationship Id="rId9" Type="http://schemas.openxmlformats.org/officeDocument/2006/relationships/image" Target="../media/image22.png"/><Relationship Id="rId14" Type="http://schemas.openxmlformats.org/officeDocument/2006/relationships/image" Target="../media/image27.svg"/><Relationship Id="rId22" Type="http://schemas.openxmlformats.org/officeDocument/2006/relationships/image" Target="../media/image35.svg"/><Relationship Id="rId27" Type="http://schemas.openxmlformats.org/officeDocument/2006/relationships/chart" Target="../charts/chart1.xml"/><Relationship Id="rId30" Type="http://schemas.openxmlformats.org/officeDocument/2006/relationships/image" Target="../media/image42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47624</xdr:rowOff>
    </xdr:from>
    <xdr:to>
      <xdr:col>4</xdr:col>
      <xdr:colOff>333375</xdr:colOff>
      <xdr:row>32</xdr:row>
      <xdr:rowOff>95250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6675" y="47624"/>
          <a:ext cx="2695575" cy="6143626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214313</xdr:colOff>
      <xdr:row>1</xdr:row>
      <xdr:rowOff>71437</xdr:rowOff>
    </xdr:from>
    <xdr:to>
      <xdr:col>4</xdr:col>
      <xdr:colOff>133350</xdr:colOff>
      <xdr:row>5</xdr:row>
      <xdr:rowOff>28575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214313" y="246062"/>
          <a:ext cx="2649537" cy="655638"/>
          <a:chOff x="214313" y="261937"/>
          <a:chExt cx="2347911" cy="719138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214313" y="261937"/>
            <a:ext cx="1035844" cy="2668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US" sz="1200">
                <a:solidFill>
                  <a:srgbClr val="FFFF00"/>
                </a:solidFill>
                <a:latin typeface="Prestige Elite Std" panose="02060509020206020304" pitchFamily="49" charset="0"/>
              </a:rPr>
              <a:t>Nama Toko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NAMATOKO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247650" y="628650"/>
                <a:ext cx="2314574" cy="3524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235745</xdr:colOff>
      <xdr:row>5</xdr:row>
      <xdr:rowOff>104774</xdr:rowOff>
    </xdr:from>
    <xdr:to>
      <xdr:col>4</xdr:col>
      <xdr:colOff>154782</xdr:colOff>
      <xdr:row>9</xdr:row>
      <xdr:rowOff>61912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235745" y="949324"/>
          <a:ext cx="2649537" cy="604838"/>
          <a:chOff x="214313" y="261937"/>
          <a:chExt cx="2347912" cy="719136"/>
        </a:xfrm>
      </xdr:grpSpPr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 txBox="1"/>
        </xdr:nvSpPr>
        <xdr:spPr>
          <a:xfrm>
            <a:off x="214313" y="261937"/>
            <a:ext cx="1240630" cy="2668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US" sz="1200">
                <a:solidFill>
                  <a:srgbClr val="FFFF00"/>
                </a:solidFill>
                <a:latin typeface="Prestige Elite Std" panose="02060509020206020304" pitchFamily="49" charset="0"/>
              </a:rPr>
              <a:t>Alamat Toko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7" name="ALAMAT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000-000003040000}"/>
                  </a:ext>
                </a:extLst>
              </xdr:cNvPr>
              <xdr:cNvSpPr/>
            </xdr:nvSpPr>
            <xdr:spPr bwMode="auto">
              <a:xfrm>
                <a:off x="247650" y="628649"/>
                <a:ext cx="2314575" cy="3524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221457</xdr:colOff>
      <xdr:row>9</xdr:row>
      <xdr:rowOff>102393</xdr:rowOff>
    </xdr:from>
    <xdr:to>
      <xdr:col>4</xdr:col>
      <xdr:colOff>140494</xdr:colOff>
      <xdr:row>13</xdr:row>
      <xdr:rowOff>59531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221457" y="1594643"/>
          <a:ext cx="2649537" cy="671513"/>
          <a:chOff x="214313" y="261937"/>
          <a:chExt cx="2347910" cy="719136"/>
        </a:xfrm>
      </xdr:grpSpPr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214313" y="261937"/>
            <a:ext cx="1528762" cy="2668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US" sz="1200">
                <a:solidFill>
                  <a:srgbClr val="FFFF00"/>
                </a:solidFill>
                <a:latin typeface="Prestige Elite Std" panose="02060509020206020304" pitchFamily="49" charset="0"/>
              </a:rPr>
              <a:t>Nomor Telphone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" name="TELPON" hidden="1">
                <a:extLst>
                  <a:ext uri="{63B3BB69-23CF-44E3-9099-C40C66FF867C}">
                    <a14:compatExt spid="_x0000_s1028"/>
                  </a:ext>
                  <a:ext uri="{FF2B5EF4-FFF2-40B4-BE49-F238E27FC236}">
                    <a16:creationId xmlns:a16="http://schemas.microsoft.com/office/drawing/2014/main" id="{00000000-0008-0000-0000-000004040000}"/>
                  </a:ext>
                </a:extLst>
              </xdr:cNvPr>
              <xdr:cNvSpPr/>
            </xdr:nvSpPr>
            <xdr:spPr bwMode="auto">
              <a:xfrm>
                <a:off x="247650" y="628648"/>
                <a:ext cx="2314573" cy="3524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219075</xdr:colOff>
      <xdr:row>13</xdr:row>
      <xdr:rowOff>135730</xdr:rowOff>
    </xdr:from>
    <xdr:to>
      <xdr:col>4</xdr:col>
      <xdr:colOff>138112</xdr:colOff>
      <xdr:row>17</xdr:row>
      <xdr:rowOff>92868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219075" y="2342355"/>
          <a:ext cx="2649537" cy="687388"/>
          <a:chOff x="214313" y="261937"/>
          <a:chExt cx="2347910" cy="719141"/>
        </a:xfrm>
      </xdr:grpSpPr>
      <xdr:sp macro="" textlink="">
        <xdr:nvSpPr>
          <xdr:cNvPr id="12" name="TextBox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 txBox="1"/>
        </xdr:nvSpPr>
        <xdr:spPr>
          <a:xfrm>
            <a:off x="214313" y="261937"/>
            <a:ext cx="1528762" cy="2480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US" sz="1200">
                <a:solidFill>
                  <a:srgbClr val="FFFF00"/>
                </a:solidFill>
                <a:latin typeface="Prestige Elite Std" panose="02060509020206020304" pitchFamily="49" charset="0"/>
              </a:rPr>
              <a:t>E-Mail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EMAIL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247650" y="628652"/>
                <a:ext cx="2314573" cy="35242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392904</xdr:colOff>
      <xdr:row>18</xdr:row>
      <xdr:rowOff>83344</xdr:rowOff>
    </xdr:from>
    <xdr:to>
      <xdr:col>2</xdr:col>
      <xdr:colOff>47622</xdr:colOff>
      <xdr:row>22</xdr:row>
      <xdr:rowOff>71437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392904" y="3194844"/>
          <a:ext cx="1019968" cy="686593"/>
          <a:chOff x="273844" y="3512344"/>
          <a:chExt cx="869156" cy="750093"/>
        </a:xfrm>
      </xdr:grpSpPr>
      <xdr:sp macro="[0]!BukaSettingToko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73844" y="3512344"/>
            <a:ext cx="869156" cy="750093"/>
          </a:xfrm>
          <a:prstGeom prst="rect">
            <a:avLst/>
          </a:prstGeom>
          <a:solidFill>
            <a:srgbClr val="FFC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ukaSettingToko">
        <xdr:nvPicPr>
          <xdr:cNvPr id="19" name="Graphic 18" descr="Gears with solid fill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90498" y="3574217"/>
            <a:ext cx="464437" cy="464437"/>
          </a:xfrm>
          <a:prstGeom prst="rect">
            <a:avLst/>
          </a:prstGeom>
        </xdr:spPr>
      </xdr:pic>
      <xdr:sp macro="[0]!BukaSettingToko" textlink="">
        <xdr:nvSpPr>
          <xdr:cNvPr id="26" name="TextBox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>
            <a:off x="285750" y="3988593"/>
            <a:ext cx="830997" cy="2668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>
                <a:latin typeface="Prestige Elite Std" panose="02060509020206020304" pitchFamily="49" charset="0"/>
              </a:rPr>
              <a:t>Setting</a:t>
            </a:r>
          </a:p>
        </xdr:txBody>
      </xdr:sp>
    </xdr:grpSp>
    <xdr:clientData/>
  </xdr:twoCellAnchor>
  <xdr:twoCellAnchor>
    <xdr:from>
      <xdr:col>2</xdr:col>
      <xdr:colOff>247653</xdr:colOff>
      <xdr:row>18</xdr:row>
      <xdr:rowOff>80962</xdr:rowOff>
    </xdr:from>
    <xdr:to>
      <xdr:col>3</xdr:col>
      <xdr:colOff>563765</xdr:colOff>
      <xdr:row>22</xdr:row>
      <xdr:rowOff>69055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1612903" y="3192462"/>
          <a:ext cx="998737" cy="686593"/>
          <a:chOff x="1475320" y="3520545"/>
          <a:chExt cx="929945" cy="750093"/>
        </a:xfrm>
      </xdr:grpSpPr>
      <xdr:grpSp>
        <xdr:nvGrpSpPr>
          <xdr:cNvPr id="28" name="Group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GrpSpPr/>
        </xdr:nvGrpSpPr>
        <xdr:grpSpPr>
          <a:xfrm>
            <a:off x="1475320" y="3520545"/>
            <a:ext cx="929945" cy="750093"/>
            <a:chOff x="261938" y="3512344"/>
            <a:chExt cx="923330" cy="750093"/>
          </a:xfrm>
        </xdr:grpSpPr>
        <xdr:sp macro="[0]!BukaFormBarang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00000000-0008-0000-0000-00001D000000}"/>
                </a:ext>
              </a:extLst>
            </xdr:cNvPr>
            <xdr:cNvSpPr/>
          </xdr:nvSpPr>
          <xdr:spPr>
            <a:xfrm>
              <a:off x="273844" y="3512344"/>
              <a:ext cx="869156" cy="750093"/>
            </a:xfrm>
            <a:prstGeom prst="rect">
              <a:avLst/>
            </a:prstGeom>
            <a:solidFill>
              <a:srgbClr val="FFC000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BukaFormBarang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SpPr txBox="1"/>
          </xdr:nvSpPr>
          <xdr:spPr>
            <a:xfrm>
              <a:off x="261938" y="3988593"/>
              <a:ext cx="923330" cy="2668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>
                  <a:latin typeface="Prestige Elite Std" panose="02060509020206020304" pitchFamily="49" charset="0"/>
                </a:rPr>
                <a:t>Database</a:t>
              </a:r>
            </a:p>
          </xdr:txBody>
        </xdr:sp>
      </xdr:grpSp>
      <xdr:pic macro="[0]!BukaFormBarang">
        <xdr:nvPicPr>
          <xdr:cNvPr id="25" name="Graphic 24" descr="Open folder with solid fill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03553" y="3558551"/>
            <a:ext cx="471590" cy="46443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376241</xdr:colOff>
      <xdr:row>22</xdr:row>
      <xdr:rowOff>150019</xdr:rowOff>
    </xdr:from>
    <xdr:to>
      <xdr:col>2</xdr:col>
      <xdr:colOff>85133</xdr:colOff>
      <xdr:row>26</xdr:row>
      <xdr:rowOff>138112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GrpSpPr/>
      </xdr:nvGrpSpPr>
      <xdr:grpSpPr>
        <a:xfrm>
          <a:off x="376241" y="3960019"/>
          <a:ext cx="1074142" cy="629443"/>
          <a:chOff x="376241" y="4341019"/>
          <a:chExt cx="923330" cy="750093"/>
        </a:xfrm>
      </xdr:grpSpPr>
      <xdr:grpSp>
        <xdr:nvGrpSpPr>
          <xdr:cNvPr id="34" name="Group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GrpSpPr/>
        </xdr:nvGrpSpPr>
        <xdr:grpSpPr>
          <a:xfrm>
            <a:off x="376241" y="4341019"/>
            <a:ext cx="923330" cy="750093"/>
            <a:chOff x="273844" y="3512344"/>
            <a:chExt cx="923330" cy="750093"/>
          </a:xfrm>
        </xdr:grpSpPr>
        <xdr:sp macro="[0]!BukaFormCostumer" textlink="">
          <xdr:nvSpPr>
            <xdr:cNvPr id="36" name="Rectangle 35">
              <a:extLst>
                <a:ext uri="{FF2B5EF4-FFF2-40B4-BE49-F238E27FC236}">
                  <a16:creationId xmlns:a16="http://schemas.microsoft.com/office/drawing/2014/main" id="{00000000-0008-0000-0000-000024000000}"/>
                </a:ext>
              </a:extLst>
            </xdr:cNvPr>
            <xdr:cNvSpPr/>
          </xdr:nvSpPr>
          <xdr:spPr>
            <a:xfrm>
              <a:off x="273844" y="3512344"/>
              <a:ext cx="869156" cy="750093"/>
            </a:xfrm>
            <a:prstGeom prst="rect">
              <a:avLst/>
            </a:prstGeom>
            <a:solidFill>
              <a:srgbClr val="FFC000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BukaFormCostumer" textlink="">
          <xdr:nvSpPr>
            <xdr:cNvPr id="37" name="TextBox 36">
              <a:extLst>
                <a:ext uri="{FF2B5EF4-FFF2-40B4-BE49-F238E27FC236}">
                  <a16:creationId xmlns:a16="http://schemas.microsoft.com/office/drawing/2014/main" id="{00000000-0008-0000-0000-000025000000}"/>
                </a:ext>
              </a:extLst>
            </xdr:cNvPr>
            <xdr:cNvSpPr txBox="1"/>
          </xdr:nvSpPr>
          <xdr:spPr>
            <a:xfrm>
              <a:off x="273844" y="3988593"/>
              <a:ext cx="923330" cy="2668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>
                  <a:latin typeface="Prestige Elite Std" panose="02060509020206020304" pitchFamily="49" charset="0"/>
                </a:rPr>
                <a:t>Customer</a:t>
              </a:r>
            </a:p>
          </xdr:txBody>
        </xdr:sp>
      </xdr:grpSp>
      <xdr:pic macro="[0]!BukaFormCostumer">
        <xdr:nvPicPr>
          <xdr:cNvPr id="23" name="Graphic 22" descr="Users with solid fill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588092" y="4409999"/>
            <a:ext cx="464437" cy="464437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266703</xdr:colOff>
      <xdr:row>22</xdr:row>
      <xdr:rowOff>183356</xdr:rowOff>
    </xdr:from>
    <xdr:to>
      <xdr:col>3</xdr:col>
      <xdr:colOff>528641</xdr:colOff>
      <xdr:row>26</xdr:row>
      <xdr:rowOff>171449</xdr:rowOff>
    </xdr:to>
    <xdr:grpSp>
      <xdr:nvGrpSpPr>
        <xdr:cNvPr id="44" name="Group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GrpSpPr/>
      </xdr:nvGrpSpPr>
      <xdr:grpSpPr>
        <a:xfrm>
          <a:off x="1631953" y="3993356"/>
          <a:ext cx="944563" cy="591343"/>
          <a:chOff x="1481141" y="4374356"/>
          <a:chExt cx="869156" cy="750093"/>
        </a:xfrm>
      </xdr:grpSpPr>
      <xdr:grpSp>
        <xdr:nvGrpSpPr>
          <xdr:cNvPr id="40" name="Group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GrpSpPr/>
        </xdr:nvGrpSpPr>
        <xdr:grpSpPr>
          <a:xfrm>
            <a:off x="1481141" y="4374356"/>
            <a:ext cx="869156" cy="750093"/>
            <a:chOff x="273844" y="3512344"/>
            <a:chExt cx="869156" cy="750093"/>
          </a:xfrm>
        </xdr:grpSpPr>
        <xdr:sp macro="[0]!bukaFormReport" textlink="">
          <xdr:nvSpPr>
            <xdr:cNvPr id="42" name="Rectangle 41">
              <a:extLst>
                <a:ext uri="{FF2B5EF4-FFF2-40B4-BE49-F238E27FC236}">
                  <a16:creationId xmlns:a16="http://schemas.microsoft.com/office/drawing/2014/main" id="{00000000-0008-0000-0000-00002A000000}"/>
                </a:ext>
              </a:extLst>
            </xdr:cNvPr>
            <xdr:cNvSpPr/>
          </xdr:nvSpPr>
          <xdr:spPr>
            <a:xfrm>
              <a:off x="273844" y="3512344"/>
              <a:ext cx="869156" cy="750093"/>
            </a:xfrm>
            <a:prstGeom prst="rect">
              <a:avLst/>
            </a:prstGeom>
            <a:solidFill>
              <a:srgbClr val="FFC000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bukaFormReport" textlink="">
          <xdr:nvSpPr>
            <xdr:cNvPr id="43" name="TextBox 42">
              <a:extLst>
                <a:ext uri="{FF2B5EF4-FFF2-40B4-BE49-F238E27FC236}">
                  <a16:creationId xmlns:a16="http://schemas.microsoft.com/office/drawing/2014/main" id="{00000000-0008-0000-0000-00002B000000}"/>
                </a:ext>
              </a:extLst>
            </xdr:cNvPr>
            <xdr:cNvSpPr txBox="1"/>
          </xdr:nvSpPr>
          <xdr:spPr>
            <a:xfrm>
              <a:off x="333374" y="3988593"/>
              <a:ext cx="738664" cy="2668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>
                  <a:latin typeface="Prestige Elite Std" panose="02060509020206020304" pitchFamily="49" charset="0"/>
                </a:rPr>
                <a:t>Report</a:t>
              </a:r>
            </a:p>
          </xdr:txBody>
        </xdr:sp>
      </xdr:grpSp>
      <xdr:pic macro="[0]!bukaFormReport">
        <xdr:nvPicPr>
          <xdr:cNvPr id="21" name="Graphic 20" descr="Bar graph with upward trend with solid fill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676343" y="4438593"/>
            <a:ext cx="464437" cy="46443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385766</xdr:colOff>
      <xdr:row>27</xdr:row>
      <xdr:rowOff>64294</xdr:rowOff>
    </xdr:from>
    <xdr:to>
      <xdr:col>2</xdr:col>
      <xdr:colOff>94658</xdr:colOff>
      <xdr:row>31</xdr:row>
      <xdr:rowOff>52387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385766" y="4652169"/>
          <a:ext cx="1074142" cy="734218"/>
          <a:chOff x="385766" y="5207794"/>
          <a:chExt cx="923330" cy="750093"/>
        </a:xfrm>
      </xdr:grpSpPr>
      <xdr:grpSp>
        <xdr:nvGrpSpPr>
          <xdr:cNvPr id="46" name="Group 45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GrpSpPr/>
        </xdr:nvGrpSpPr>
        <xdr:grpSpPr>
          <a:xfrm>
            <a:off x="385766" y="5207794"/>
            <a:ext cx="923330" cy="750093"/>
            <a:chOff x="273844" y="3512344"/>
            <a:chExt cx="923330" cy="750093"/>
          </a:xfrm>
        </xdr:grpSpPr>
        <xdr:sp macro="[0]!BukaFormSupplier" textlink="">
          <xdr:nvSpPr>
            <xdr:cNvPr id="48" name="Rectangle 47">
              <a:extLst>
                <a:ext uri="{FF2B5EF4-FFF2-40B4-BE49-F238E27FC236}">
                  <a16:creationId xmlns:a16="http://schemas.microsoft.com/office/drawing/2014/main" id="{00000000-0008-0000-0000-000030000000}"/>
                </a:ext>
              </a:extLst>
            </xdr:cNvPr>
            <xdr:cNvSpPr/>
          </xdr:nvSpPr>
          <xdr:spPr>
            <a:xfrm>
              <a:off x="273844" y="3512344"/>
              <a:ext cx="869156" cy="750093"/>
            </a:xfrm>
            <a:prstGeom prst="rect">
              <a:avLst/>
            </a:prstGeom>
            <a:solidFill>
              <a:srgbClr val="FFC000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BukaFormSupplier" textlink="">
          <xdr:nvSpPr>
            <xdr:cNvPr id="49" name="TextBox 48">
              <a:extLst>
                <a:ext uri="{FF2B5EF4-FFF2-40B4-BE49-F238E27FC236}">
                  <a16:creationId xmlns:a16="http://schemas.microsoft.com/office/drawing/2014/main" id="{00000000-0008-0000-0000-000031000000}"/>
                </a:ext>
              </a:extLst>
            </xdr:cNvPr>
            <xdr:cNvSpPr txBox="1"/>
          </xdr:nvSpPr>
          <xdr:spPr>
            <a:xfrm>
              <a:off x="273844" y="3988593"/>
              <a:ext cx="923330" cy="2668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>
                  <a:latin typeface="Prestige Elite Std" panose="02060509020206020304" pitchFamily="49" charset="0"/>
                </a:rPr>
                <a:t>Supplier</a:t>
              </a:r>
            </a:p>
          </xdr:txBody>
        </xdr:sp>
      </xdr:grpSp>
      <xdr:pic macro="[0]!BukaFormSupplier">
        <xdr:nvPicPr>
          <xdr:cNvPr id="17" name="Graphic 16" descr="Handshake with solid fill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590531" y="5269686"/>
            <a:ext cx="464437" cy="464437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252415</xdr:colOff>
      <xdr:row>27</xdr:row>
      <xdr:rowOff>73819</xdr:rowOff>
    </xdr:from>
    <xdr:to>
      <xdr:col>3</xdr:col>
      <xdr:colOff>514353</xdr:colOff>
      <xdr:row>31</xdr:row>
      <xdr:rowOff>61912</xdr:rowOff>
    </xdr:to>
    <xdr:grpSp>
      <xdr:nvGrpSpPr>
        <xdr:cNvPr id="56" name="Group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GrpSpPr/>
      </xdr:nvGrpSpPr>
      <xdr:grpSpPr>
        <a:xfrm>
          <a:off x="1617665" y="4661694"/>
          <a:ext cx="944563" cy="734218"/>
          <a:chOff x="1466853" y="5217319"/>
          <a:chExt cx="869156" cy="750093"/>
        </a:xfrm>
      </xdr:grpSpPr>
      <xdr:grpSp>
        <xdr:nvGrpSpPr>
          <xdr:cNvPr id="52" name="Group 5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GrpSpPr/>
        </xdr:nvGrpSpPr>
        <xdr:grpSpPr>
          <a:xfrm>
            <a:off x="1466853" y="5217319"/>
            <a:ext cx="869156" cy="750093"/>
            <a:chOff x="273844" y="3512344"/>
            <a:chExt cx="869156" cy="750093"/>
          </a:xfrm>
        </xdr:grpSpPr>
        <xdr:sp macro="[0]!simpan" textlink="">
          <xdr:nvSpPr>
            <xdr:cNvPr id="54" name="Rectangle 53">
              <a:extLst>
                <a:ext uri="{FF2B5EF4-FFF2-40B4-BE49-F238E27FC236}">
                  <a16:creationId xmlns:a16="http://schemas.microsoft.com/office/drawing/2014/main" id="{00000000-0008-0000-0000-000036000000}"/>
                </a:ext>
              </a:extLst>
            </xdr:cNvPr>
            <xdr:cNvSpPr/>
          </xdr:nvSpPr>
          <xdr:spPr>
            <a:xfrm>
              <a:off x="273844" y="3512344"/>
              <a:ext cx="869156" cy="750093"/>
            </a:xfrm>
            <a:prstGeom prst="rect">
              <a:avLst/>
            </a:prstGeom>
            <a:solidFill>
              <a:srgbClr val="FFC000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simpan" textlink="">
          <xdr:nvSpPr>
            <xdr:cNvPr id="55" name="TextBox 54">
              <a:extLst>
                <a:ext uri="{FF2B5EF4-FFF2-40B4-BE49-F238E27FC236}">
                  <a16:creationId xmlns:a16="http://schemas.microsoft.com/office/drawing/2014/main" id="{00000000-0008-0000-0000-000037000000}"/>
                </a:ext>
              </a:extLst>
            </xdr:cNvPr>
            <xdr:cNvSpPr txBox="1"/>
          </xdr:nvSpPr>
          <xdr:spPr>
            <a:xfrm>
              <a:off x="428622" y="3988593"/>
              <a:ext cx="553998" cy="2668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>
                  <a:latin typeface="Prestige Elite Std" panose="02060509020206020304" pitchFamily="49" charset="0"/>
                </a:rPr>
                <a:t>Save</a:t>
              </a:r>
            </a:p>
          </xdr:txBody>
        </xdr:sp>
      </xdr:grpSp>
      <xdr:pic macro="[0]!simpan">
        <xdr:nvPicPr>
          <xdr:cNvPr id="15" name="Graphic 14" descr="Download with solid fill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66874" y="5238749"/>
            <a:ext cx="464437" cy="464437"/>
          </a:xfrm>
          <a:prstGeom prst="rect">
            <a:avLst/>
          </a:prstGeom>
        </xdr:spPr>
      </xdr:pic>
    </xdr:grpSp>
    <xdr:clientData/>
  </xdr:twoCellAnchor>
  <xdr:oneCellAnchor>
    <xdr:from>
      <xdr:col>4</xdr:col>
      <xdr:colOff>470647</xdr:colOff>
      <xdr:row>15</xdr:row>
      <xdr:rowOff>67235</xdr:rowOff>
    </xdr:from>
    <xdr:ext cx="1161857" cy="266804"/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 txBox="1"/>
      </xdr:nvSpPr>
      <xdr:spPr>
        <a:xfrm>
          <a:off x="2891118" y="3059206"/>
          <a:ext cx="1161857" cy="2668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>
              <a:latin typeface="Prestige Elite Std" panose="02060509020206020304" pitchFamily="49" charset="0"/>
            </a:rPr>
            <a:t>Cari </a:t>
          </a:r>
          <a:r>
            <a:rPr lang="en-US" sz="1200">
              <a:latin typeface="Prestige Elite Std" panose="02060509020206020304" pitchFamily="49" charset="0"/>
            </a:rPr>
            <a:t>Barang</a:t>
          </a:r>
          <a:endParaRPr lang="en-US" sz="1100">
            <a:latin typeface="Prestige Elite Std" panose="02060509020206020304" pitchFamily="49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16</xdr:row>
          <xdr:rowOff>171450</xdr:rowOff>
        </xdr:from>
        <xdr:to>
          <xdr:col>7</xdr:col>
          <xdr:colOff>1057275</xdr:colOff>
          <xdr:row>18</xdr:row>
          <xdr:rowOff>142875</xdr:rowOff>
        </xdr:to>
        <xdr:sp macro="" textlink="">
          <xdr:nvSpPr>
            <xdr:cNvPr id="1030" name="CariBarang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504825</xdr:colOff>
          <xdr:row>19</xdr:row>
          <xdr:rowOff>47625</xdr:rowOff>
        </xdr:from>
        <xdr:to>
          <xdr:col>8</xdr:col>
          <xdr:colOff>9525</xdr:colOff>
          <xdr:row>29</xdr:row>
          <xdr:rowOff>104775</xdr:rowOff>
        </xdr:to>
        <xdr:sp macro="" textlink="">
          <xdr:nvSpPr>
            <xdr:cNvPr id="1031" name="TabelDataBarang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7</xdr:col>
      <xdr:colOff>1167012</xdr:colOff>
      <xdr:row>16</xdr:row>
      <xdr:rowOff>179294</xdr:rowOff>
    </xdr:from>
    <xdr:to>
      <xdr:col>8</xdr:col>
      <xdr:colOff>21610</xdr:colOff>
      <xdr:row>18</xdr:row>
      <xdr:rowOff>145676</xdr:rowOff>
    </xdr:to>
    <xdr:sp macro="[0]!BukaData" textlink="">
      <xdr:nvSpPr>
        <xdr:cNvPr id="58" name="Rectangle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5711798" y="3172865"/>
          <a:ext cx="963705" cy="347382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rgbClr val="FFFF00"/>
              </a:solidFill>
              <a:latin typeface="Poor Richard" panose="02080502050505020702" pitchFamily="18" charset="0"/>
            </a:rPr>
            <a:t>Load Data</a:t>
          </a:r>
          <a:endParaRPr lang="en-US" sz="1100">
            <a:solidFill>
              <a:srgbClr val="FFFF00"/>
            </a:solidFill>
            <a:latin typeface="Poor Richard" panose="02080502050505020702" pitchFamily="18" charset="0"/>
          </a:endParaRPr>
        </a:p>
      </xdr:txBody>
    </xdr:sp>
    <xdr:clientData/>
  </xdr:twoCellAnchor>
  <xdr:oneCellAnchor>
    <xdr:from>
      <xdr:col>8</xdr:col>
      <xdr:colOff>152400</xdr:colOff>
      <xdr:row>27</xdr:row>
      <xdr:rowOff>73958</xdr:rowOff>
    </xdr:from>
    <xdr:ext cx="692497" cy="252313"/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 txBox="1"/>
      </xdr:nvSpPr>
      <xdr:spPr>
        <a:xfrm>
          <a:off x="6472518" y="5239870"/>
          <a:ext cx="692497" cy="2523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>
              <a:latin typeface="Prestige Elite Std" panose="02060509020206020304" pitchFamily="49" charset="0"/>
            </a:rPr>
            <a:t>Diskon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27</xdr:row>
          <xdr:rowOff>47625</xdr:rowOff>
        </xdr:from>
        <xdr:to>
          <xdr:col>11</xdr:col>
          <xdr:colOff>457200</xdr:colOff>
          <xdr:row>29</xdr:row>
          <xdr:rowOff>19050</xdr:rowOff>
        </xdr:to>
        <xdr:sp macro="" textlink="">
          <xdr:nvSpPr>
            <xdr:cNvPr id="1032" name="DISKON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2241</xdr:colOff>
      <xdr:row>29</xdr:row>
      <xdr:rowOff>181534</xdr:rowOff>
    </xdr:from>
    <xdr:ext cx="1115690" cy="252313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6479241" y="5728446"/>
          <a:ext cx="1115690" cy="2523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>
              <a:latin typeface="Prestige Elite Std" panose="02060509020206020304" pitchFamily="49" charset="0"/>
            </a:rPr>
            <a:t>Total Harga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400050</xdr:colOff>
          <xdr:row>29</xdr:row>
          <xdr:rowOff>152400</xdr:rowOff>
        </xdr:from>
        <xdr:to>
          <xdr:col>11</xdr:col>
          <xdr:colOff>457200</xdr:colOff>
          <xdr:row>31</xdr:row>
          <xdr:rowOff>76200</xdr:rowOff>
        </xdr:to>
        <xdr:sp macro="" textlink="">
          <xdr:nvSpPr>
            <xdr:cNvPr id="1033" name="TOTALHARGA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12</xdr:col>
      <xdr:colOff>8953</xdr:colOff>
      <xdr:row>27</xdr:row>
      <xdr:rowOff>87404</xdr:rowOff>
    </xdr:from>
    <xdr:ext cx="1115690" cy="252313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9623600" y="5253316"/>
          <a:ext cx="1115690" cy="2523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>
              <a:latin typeface="Prestige Elite Std" panose="02060509020206020304" pitchFamily="49" charset="0"/>
            </a:rPr>
            <a:t>Total Bayar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581025</xdr:colOff>
          <xdr:row>27</xdr:row>
          <xdr:rowOff>57150</xdr:rowOff>
        </xdr:from>
        <xdr:to>
          <xdr:col>15</xdr:col>
          <xdr:colOff>333375</xdr:colOff>
          <xdr:row>29</xdr:row>
          <xdr:rowOff>28575</xdr:rowOff>
        </xdr:to>
        <xdr:sp macro="" textlink="">
          <xdr:nvSpPr>
            <xdr:cNvPr id="1034" name="TOTALBAYAR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12</xdr:col>
      <xdr:colOff>26883</xdr:colOff>
      <xdr:row>29</xdr:row>
      <xdr:rowOff>172568</xdr:rowOff>
    </xdr:from>
    <xdr:ext cx="607859" cy="252313"/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 txBox="1"/>
      </xdr:nvSpPr>
      <xdr:spPr>
        <a:xfrm>
          <a:off x="9641530" y="5719480"/>
          <a:ext cx="607859" cy="2523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>
              <a:latin typeface="Prestige Elite Std" panose="02060509020206020304" pitchFamily="49" charset="0"/>
            </a:rPr>
            <a:t>Bayar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590550</xdr:colOff>
          <xdr:row>29</xdr:row>
          <xdr:rowOff>142875</xdr:rowOff>
        </xdr:from>
        <xdr:to>
          <xdr:col>15</xdr:col>
          <xdr:colOff>342900</xdr:colOff>
          <xdr:row>31</xdr:row>
          <xdr:rowOff>66675</xdr:rowOff>
        </xdr:to>
        <xdr:sp macro="" textlink="">
          <xdr:nvSpPr>
            <xdr:cNvPr id="1035" name="BAYAR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15</xdr:col>
      <xdr:colOff>521539</xdr:colOff>
      <xdr:row>27</xdr:row>
      <xdr:rowOff>82922</xdr:rowOff>
    </xdr:from>
    <xdr:ext cx="946413" cy="252313"/>
    <xdr:sp macro="" textlink="">
      <xdr:nvSpPr>
        <xdr:cNvPr id="1024" name="TextBox 1023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SpPr txBox="1"/>
      </xdr:nvSpPr>
      <xdr:spPr>
        <a:xfrm>
          <a:off x="13067325" y="5117565"/>
          <a:ext cx="946413" cy="2523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>
              <a:latin typeface="Prestige Elite Std" panose="02060509020206020304" pitchFamily="49" charset="0"/>
            </a:rPr>
            <a:t>Kembalian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1457325</xdr:colOff>
          <xdr:row>27</xdr:row>
          <xdr:rowOff>57150</xdr:rowOff>
        </xdr:from>
        <xdr:to>
          <xdr:col>16</xdr:col>
          <xdr:colOff>1828800</xdr:colOff>
          <xdr:row>29</xdr:row>
          <xdr:rowOff>28575</xdr:rowOff>
        </xdr:to>
        <xdr:sp macro="" textlink="">
          <xdr:nvSpPr>
            <xdr:cNvPr id="1036" name="KEMBALIAN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14</xdr:col>
      <xdr:colOff>774250</xdr:colOff>
      <xdr:row>6</xdr:row>
      <xdr:rowOff>47676</xdr:rowOff>
    </xdr:from>
    <xdr:ext cx="777136" cy="252313"/>
    <xdr:sp macro="" textlink="">
      <xdr:nvSpPr>
        <xdr:cNvPr id="1041" name="TextBox 1040">
          <a:extLst>
            <a:ext uri="{FF2B5EF4-FFF2-40B4-BE49-F238E27FC236}">
              <a16:creationId xmlns:a16="http://schemas.microsoft.com/office/drawing/2014/main" id="{00000000-0008-0000-0000-000011040000}"/>
            </a:ext>
          </a:extLst>
        </xdr:cNvPr>
        <xdr:cNvSpPr txBox="1"/>
      </xdr:nvSpPr>
      <xdr:spPr>
        <a:xfrm>
          <a:off x="12490000" y="1081819"/>
          <a:ext cx="777136" cy="2523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>
              <a:latin typeface="Prestige Elite Std" panose="02060509020206020304" pitchFamily="49" charset="0"/>
            </a:rPr>
            <a:t>Tanggal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647700</xdr:colOff>
          <xdr:row>6</xdr:row>
          <xdr:rowOff>28575</xdr:rowOff>
        </xdr:from>
        <xdr:to>
          <xdr:col>16</xdr:col>
          <xdr:colOff>1028700</xdr:colOff>
          <xdr:row>7</xdr:row>
          <xdr:rowOff>123825</xdr:rowOff>
        </xdr:to>
        <xdr:sp macro="" textlink="">
          <xdr:nvSpPr>
            <xdr:cNvPr id="6" name="Tanggal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685800</xdr:colOff>
          <xdr:row>0</xdr:row>
          <xdr:rowOff>114300</xdr:rowOff>
        </xdr:from>
        <xdr:to>
          <xdr:col>16</xdr:col>
          <xdr:colOff>1743075</xdr:colOff>
          <xdr:row>4</xdr:row>
          <xdr:rowOff>104775</xdr:rowOff>
        </xdr:to>
        <xdr:sp macro="" textlink="">
          <xdr:nvSpPr>
            <xdr:cNvPr id="5" name="Image1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486334</xdr:colOff>
      <xdr:row>6</xdr:row>
      <xdr:rowOff>32358</xdr:rowOff>
    </xdr:from>
    <xdr:to>
      <xdr:col>14</xdr:col>
      <xdr:colOff>432546</xdr:colOff>
      <xdr:row>7</xdr:row>
      <xdr:rowOff>124806</xdr:rowOff>
    </xdr:to>
    <xdr:grpSp>
      <xdr:nvGrpSpPr>
        <xdr:cNvPr id="1077" name="Group 1076">
          <a:extLst>
            <a:ext uri="{FF2B5EF4-FFF2-40B4-BE49-F238E27FC236}">
              <a16:creationId xmlns:a16="http://schemas.microsoft.com/office/drawing/2014/main" id="{00000000-0008-0000-0000-000035040000}"/>
            </a:ext>
          </a:extLst>
        </xdr:cNvPr>
        <xdr:cNvGrpSpPr/>
      </xdr:nvGrpSpPr>
      <xdr:grpSpPr>
        <a:xfrm>
          <a:off x="12646584" y="984858"/>
          <a:ext cx="1454337" cy="267073"/>
          <a:chOff x="10829363" y="1063299"/>
          <a:chExt cx="1167654" cy="282948"/>
        </a:xfrm>
      </xdr:grpSpPr>
      <xdr:sp macro="[0]!SimpanTransaksi" textlink="">
        <xdr:nvSpPr>
          <xdr:cNvPr id="1040" name="Rectangle 1039">
            <a:extLst>
              <a:ext uri="{FF2B5EF4-FFF2-40B4-BE49-F238E27FC236}">
                <a16:creationId xmlns:a16="http://schemas.microsoft.com/office/drawing/2014/main" id="{00000000-0008-0000-0000-000010040000}"/>
              </a:ext>
            </a:extLst>
          </xdr:cNvPr>
          <xdr:cNvSpPr/>
        </xdr:nvSpPr>
        <xdr:spPr>
          <a:xfrm>
            <a:off x="10829363" y="1063299"/>
            <a:ext cx="1167654" cy="28294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rgbClr val="FFFF00"/>
                </a:solidFill>
                <a:latin typeface="Poor Richard" panose="02080502050505020702" pitchFamily="18" charset="0"/>
              </a:rPr>
              <a:t>Print</a:t>
            </a:r>
            <a:endParaRPr lang="en-US" sz="1100">
              <a:solidFill>
                <a:srgbClr val="FFFF00"/>
              </a:solidFill>
              <a:latin typeface="Poor Richard" panose="02080502050505020702" pitchFamily="18" charset="0"/>
            </a:endParaRPr>
          </a:p>
        </xdr:txBody>
      </xdr:sp>
      <xdr:pic macro="[0]!SimpanTransaksi">
        <xdr:nvPicPr>
          <xdr:cNvPr id="1049" name="Graphic 1048" descr="Printer with solid fill">
            <a:extLst>
              <a:ext uri="{FF2B5EF4-FFF2-40B4-BE49-F238E27FC236}">
                <a16:creationId xmlns:a16="http://schemas.microsoft.com/office/drawing/2014/main" id="{00000000-0008-0000-0000-000019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10925735" y="1086971"/>
            <a:ext cx="246888" cy="246888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300317</xdr:colOff>
      <xdr:row>6</xdr:row>
      <xdr:rowOff>32358</xdr:rowOff>
    </xdr:from>
    <xdr:to>
      <xdr:col>13</xdr:col>
      <xdr:colOff>201707</xdr:colOff>
      <xdr:row>7</xdr:row>
      <xdr:rowOff>124806</xdr:rowOff>
    </xdr:to>
    <xdr:grpSp>
      <xdr:nvGrpSpPr>
        <xdr:cNvPr id="1076" name="Group 1075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GrpSpPr/>
      </xdr:nvGrpSpPr>
      <xdr:grpSpPr>
        <a:xfrm>
          <a:off x="11174692" y="984858"/>
          <a:ext cx="1187265" cy="267073"/>
          <a:chOff x="9377082" y="1063299"/>
          <a:chExt cx="1167654" cy="282948"/>
        </a:xfrm>
      </xdr:grpSpPr>
      <xdr:sp macro="[0]!Bersihkan" textlink="">
        <xdr:nvSpPr>
          <xdr:cNvPr id="1039" name="Rectangle 1038">
            <a:extLst>
              <a:ext uri="{FF2B5EF4-FFF2-40B4-BE49-F238E27FC236}">
                <a16:creationId xmlns:a16="http://schemas.microsoft.com/office/drawing/2014/main" id="{00000000-0008-0000-0000-00000F040000}"/>
              </a:ext>
            </a:extLst>
          </xdr:cNvPr>
          <xdr:cNvSpPr/>
        </xdr:nvSpPr>
        <xdr:spPr>
          <a:xfrm>
            <a:off x="9377082" y="1063299"/>
            <a:ext cx="1167654" cy="28294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rgbClr val="FFFF00"/>
                </a:solidFill>
                <a:latin typeface="Poor Richard" panose="02080502050505020702" pitchFamily="18" charset="0"/>
              </a:rPr>
              <a:t>Clear</a:t>
            </a:r>
            <a:endParaRPr lang="en-US" sz="1100">
              <a:solidFill>
                <a:srgbClr val="FFFF00"/>
              </a:solidFill>
              <a:latin typeface="Poor Richard" panose="02080502050505020702" pitchFamily="18" charset="0"/>
            </a:endParaRPr>
          </a:p>
        </xdr:txBody>
      </xdr:sp>
      <xdr:pic macro="[0]!Bersihkan">
        <xdr:nvPicPr>
          <xdr:cNvPr id="1051" name="Graphic 1050" descr="Eraser with solid fill">
            <a:extLst>
              <a:ext uri="{FF2B5EF4-FFF2-40B4-BE49-F238E27FC236}">
                <a16:creationId xmlns:a16="http://schemas.microsoft.com/office/drawing/2014/main" id="{00000000-0008-0000-0000-00001B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9473294" y="1080088"/>
            <a:ext cx="242206" cy="242206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152400</xdr:colOff>
      <xdr:row>6</xdr:row>
      <xdr:rowOff>32358</xdr:rowOff>
    </xdr:from>
    <xdr:to>
      <xdr:col>10</xdr:col>
      <xdr:colOff>434790</xdr:colOff>
      <xdr:row>7</xdr:row>
      <xdr:rowOff>124806</xdr:rowOff>
    </xdr:to>
    <xdr:grpSp>
      <xdr:nvGrpSpPr>
        <xdr:cNvPr id="1074" name="Group 1073">
          <a:extLs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GrpSpPr/>
      </xdr:nvGrpSpPr>
      <xdr:grpSpPr>
        <a:xfrm>
          <a:off x="7693025" y="984858"/>
          <a:ext cx="1488890" cy="267073"/>
          <a:chOff x="6472518" y="1063299"/>
          <a:chExt cx="1167654" cy="282948"/>
        </a:xfrm>
      </xdr:grpSpPr>
      <xdr:sp macro="[0]!NomorTransaksi" textlink="">
        <xdr:nvSpPr>
          <xdr:cNvPr id="1037" name="Rectangle 1036">
            <a:extLst>
              <a:ext uri="{FF2B5EF4-FFF2-40B4-BE49-F238E27FC236}">
                <a16:creationId xmlns:a16="http://schemas.microsoft.com/office/drawing/2014/main" id="{00000000-0008-0000-0000-00000D040000}"/>
              </a:ext>
            </a:extLst>
          </xdr:cNvPr>
          <xdr:cNvSpPr/>
        </xdr:nvSpPr>
        <xdr:spPr>
          <a:xfrm>
            <a:off x="6472518" y="1063299"/>
            <a:ext cx="1167654" cy="28294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rgbClr val="FFFF00"/>
                </a:solidFill>
                <a:latin typeface="Poor Richard" panose="02080502050505020702" pitchFamily="18" charset="0"/>
              </a:rPr>
              <a:t>New</a:t>
            </a:r>
            <a:endParaRPr lang="en-US" sz="1100">
              <a:solidFill>
                <a:srgbClr val="FFFF00"/>
              </a:solidFill>
              <a:latin typeface="Poor Richard" panose="02080502050505020702" pitchFamily="18" charset="0"/>
            </a:endParaRPr>
          </a:p>
        </xdr:txBody>
      </xdr:sp>
      <xdr:pic macro="[0]!NomorTransaksi">
        <xdr:nvPicPr>
          <xdr:cNvPr id="1053" name="Graphic 1052" descr="Add with solid fill">
            <a:extLst>
              <a:ext uri="{FF2B5EF4-FFF2-40B4-BE49-F238E27FC236}">
                <a16:creationId xmlns:a16="http://schemas.microsoft.com/office/drawing/2014/main" id="{00000000-0008-0000-0000-00001D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6586500" y="1084412"/>
            <a:ext cx="246888" cy="246888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719418</xdr:colOff>
      <xdr:row>6</xdr:row>
      <xdr:rowOff>32358</xdr:rowOff>
    </xdr:from>
    <xdr:to>
      <xdr:col>11</xdr:col>
      <xdr:colOff>15689</xdr:colOff>
      <xdr:row>7</xdr:row>
      <xdr:rowOff>124806</xdr:rowOff>
    </xdr:to>
    <xdr:grpSp>
      <xdr:nvGrpSpPr>
        <xdr:cNvPr id="1075" name="Group 1074">
          <a:extLst>
            <a:ext uri="{FF2B5EF4-FFF2-40B4-BE49-F238E27FC236}">
              <a16:creationId xmlns:a16="http://schemas.microsoft.com/office/drawing/2014/main" id="{00000000-0008-0000-0000-000033040000}"/>
            </a:ext>
          </a:extLst>
        </xdr:cNvPr>
        <xdr:cNvGrpSpPr/>
      </xdr:nvGrpSpPr>
      <xdr:grpSpPr>
        <a:xfrm>
          <a:off x="9466543" y="984858"/>
          <a:ext cx="1423521" cy="267073"/>
          <a:chOff x="7924800" y="1063299"/>
          <a:chExt cx="1167654" cy="282948"/>
        </a:xfrm>
      </xdr:grpSpPr>
      <xdr:sp macro="[0]!Beli" textlink="">
        <xdr:nvSpPr>
          <xdr:cNvPr id="1038" name="Rectangle 1037">
            <a:extLst>
              <a:ext uri="{FF2B5EF4-FFF2-40B4-BE49-F238E27FC236}">
                <a16:creationId xmlns:a16="http://schemas.microsoft.com/office/drawing/2014/main" id="{00000000-0008-0000-0000-00000E040000}"/>
              </a:ext>
            </a:extLst>
          </xdr:cNvPr>
          <xdr:cNvSpPr/>
        </xdr:nvSpPr>
        <xdr:spPr>
          <a:xfrm>
            <a:off x="7924800" y="1063299"/>
            <a:ext cx="1167654" cy="28294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rgbClr val="FFFF00"/>
                </a:solidFill>
                <a:latin typeface="Poor Richard" panose="02080502050505020702" pitchFamily="18" charset="0"/>
              </a:rPr>
              <a:t>Buy</a:t>
            </a:r>
            <a:endParaRPr lang="en-US" sz="1100">
              <a:solidFill>
                <a:srgbClr val="FFFF00"/>
              </a:solidFill>
              <a:latin typeface="Poor Richard" panose="02080502050505020702" pitchFamily="18" charset="0"/>
            </a:endParaRPr>
          </a:p>
        </xdr:txBody>
      </xdr:sp>
      <xdr:pic macro="[0]!Beli">
        <xdr:nvPicPr>
          <xdr:cNvPr id="1061" name="Graphic 1060" descr="Shopping cart with solid fill">
            <a:extLst>
              <a:ext uri="{FF2B5EF4-FFF2-40B4-BE49-F238E27FC236}">
                <a16:creationId xmlns:a16="http://schemas.microsoft.com/office/drawing/2014/main" id="{00000000-0008-0000-0000-000025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8049354" y="1090501"/>
            <a:ext cx="246888" cy="246888"/>
          </a:xfrm>
          <a:prstGeom prst="rect">
            <a:avLst/>
          </a:prstGeom>
        </xdr:spPr>
      </xdr:pic>
    </xdr:grpSp>
    <xdr:clientData/>
  </xdr:twoCellAnchor>
  <xdr:twoCellAnchor editAs="oneCell">
    <xdr:from>
      <xdr:col>16</xdr:col>
      <xdr:colOff>1397382</xdr:colOff>
      <xdr:row>5</xdr:row>
      <xdr:rowOff>75088</xdr:rowOff>
    </xdr:from>
    <xdr:to>
      <xdr:col>16</xdr:col>
      <xdr:colOff>1781736</xdr:colOff>
      <xdr:row>8</xdr:row>
      <xdr:rowOff>1</xdr:rowOff>
    </xdr:to>
    <xdr:pic macro="[0]!MODULUTAMA.bukaFormTanggal">
      <xdr:nvPicPr>
        <xdr:cNvPr id="1063" name="Graphic 1062" descr="Daily calendar with solid fill">
          <a:extLst>
            <a:ext uri="{FF2B5EF4-FFF2-40B4-BE49-F238E27FC236}">
              <a16:creationId xmlns:a16="http://schemas.microsoft.com/office/drawing/2014/main" id="{00000000-0008-0000-00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5315088" y="1027588"/>
          <a:ext cx="384354" cy="384354"/>
        </a:xfrm>
        <a:prstGeom prst="rect">
          <a:avLst/>
        </a:prstGeom>
      </xdr:spPr>
    </xdr:pic>
    <xdr:clientData/>
  </xdr:twoCellAnchor>
  <xdr:twoCellAnchor>
    <xdr:from>
      <xdr:col>5</xdr:col>
      <xdr:colOff>11206</xdr:colOff>
      <xdr:row>0</xdr:row>
      <xdr:rowOff>89647</xdr:rowOff>
    </xdr:from>
    <xdr:to>
      <xdr:col>8</xdr:col>
      <xdr:colOff>11206</xdr:colOff>
      <xdr:row>7</xdr:row>
      <xdr:rowOff>22412</xdr:rowOff>
    </xdr:to>
    <xdr:grpSp>
      <xdr:nvGrpSpPr>
        <xdr:cNvPr id="1078" name="Group 1077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GrpSpPr/>
      </xdr:nvGrpSpPr>
      <xdr:grpSpPr>
        <a:xfrm>
          <a:off x="3344956" y="89647"/>
          <a:ext cx="4206875" cy="1059890"/>
          <a:chOff x="2958353" y="89647"/>
          <a:chExt cx="3372971" cy="1154206"/>
        </a:xfrm>
      </xdr:grpSpPr>
      <xdr:sp macro="" textlink="">
        <xdr:nvSpPr>
          <xdr:cNvPr id="59" name="Rectangle 58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58353" y="89647"/>
            <a:ext cx="3372971" cy="1154206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055" name="Graphic 1054" descr="Bar graph with upward trend with solid fill">
            <a:extLst>
              <a:ext uri="{FF2B5EF4-FFF2-40B4-BE49-F238E27FC236}">
                <a16:creationId xmlns:a16="http://schemas.microsoft.com/office/drawing/2014/main" id="{00000000-0008-0000-0000-00001F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4"/>
              </a:ext>
            </a:extLst>
          </a:blip>
          <a:stretch>
            <a:fillRect/>
          </a:stretch>
        </xdr:blipFill>
        <xdr:spPr>
          <a:xfrm>
            <a:off x="3027353" y="125029"/>
            <a:ext cx="384354" cy="384354"/>
          </a:xfrm>
          <a:prstGeom prst="rect">
            <a:avLst/>
          </a:prstGeom>
        </xdr:spPr>
      </xdr:pic>
      <xdr:sp macro="" textlink="">
        <xdr:nvSpPr>
          <xdr:cNvPr id="1064" name="TextBox 1063">
            <a:extLst>
              <a:ext uri="{FF2B5EF4-FFF2-40B4-BE49-F238E27FC236}">
                <a16:creationId xmlns:a16="http://schemas.microsoft.com/office/drawing/2014/main" id="{00000000-0008-0000-0000-000028040000}"/>
              </a:ext>
            </a:extLst>
          </xdr:cNvPr>
          <xdr:cNvSpPr txBox="1"/>
        </xdr:nvSpPr>
        <xdr:spPr>
          <a:xfrm>
            <a:off x="3372971" y="156882"/>
            <a:ext cx="1028615" cy="2970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>
                <a:solidFill>
                  <a:srgbClr val="FFC000"/>
                </a:solidFill>
                <a:latin typeface="Posterama" panose="020B0502040204020203" pitchFamily="34" charset="0"/>
                <a:cs typeface="Posterama" panose="020B0502040204020203" pitchFamily="34" charset="0"/>
              </a:rPr>
              <a:t>Sales</a:t>
            </a:r>
            <a:r>
              <a:rPr lang="en-US" sz="1200" baseline="0">
                <a:solidFill>
                  <a:srgbClr val="FFC000"/>
                </a:solidFill>
                <a:latin typeface="Posterama" panose="020B0502040204020203" pitchFamily="34" charset="0"/>
                <a:cs typeface="Posterama" panose="020B0502040204020203" pitchFamily="34" charset="0"/>
              </a:rPr>
              <a:t> Report</a:t>
            </a:r>
            <a:endParaRPr lang="en-US" sz="1200">
              <a:solidFill>
                <a:srgbClr val="FFC000"/>
              </a:solidFill>
              <a:latin typeface="Posterama" panose="020B0502040204020203" pitchFamily="34" charset="0"/>
              <a:cs typeface="Posterama" panose="020B0502040204020203" pitchFamily="34" charset="0"/>
            </a:endParaRPr>
          </a:p>
        </xdr:txBody>
      </xdr:sp>
    </xdr:grpSp>
    <xdr:clientData/>
  </xdr:twoCellAnchor>
  <xdr:twoCellAnchor>
    <xdr:from>
      <xdr:col>11</xdr:col>
      <xdr:colOff>89650</xdr:colOff>
      <xdr:row>0</xdr:row>
      <xdr:rowOff>68036</xdr:rowOff>
    </xdr:from>
    <xdr:to>
      <xdr:col>13</xdr:col>
      <xdr:colOff>530680</xdr:colOff>
      <xdr:row>4</xdr:row>
      <xdr:rowOff>140074</xdr:rowOff>
    </xdr:to>
    <xdr:grpSp>
      <xdr:nvGrpSpPr>
        <xdr:cNvPr id="1080" name="Group 1079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GrpSpPr/>
      </xdr:nvGrpSpPr>
      <xdr:grpSpPr>
        <a:xfrm>
          <a:off x="10964025" y="68036"/>
          <a:ext cx="1726905" cy="770538"/>
          <a:chOff x="9166413" y="68036"/>
          <a:chExt cx="1707447" cy="834038"/>
        </a:xfrm>
      </xdr:grpSpPr>
      <xdr:sp macro="" textlink="">
        <xdr:nvSpPr>
          <xdr:cNvPr id="1044" name="Rectangle 1043">
            <a:extLst>
              <a:ext uri="{FF2B5EF4-FFF2-40B4-BE49-F238E27FC236}">
                <a16:creationId xmlns:a16="http://schemas.microsoft.com/office/drawing/2014/main" id="{00000000-0008-0000-0000-000014040000}"/>
              </a:ext>
            </a:extLst>
          </xdr:cNvPr>
          <xdr:cNvSpPr/>
        </xdr:nvSpPr>
        <xdr:spPr>
          <a:xfrm>
            <a:off x="9175377" y="72840"/>
            <a:ext cx="1696571" cy="82923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071" name="Graphic 1070" descr="Database with solid fill">
            <a:extLst>
              <a:ext uri="{FF2B5EF4-FFF2-40B4-BE49-F238E27FC236}">
                <a16:creationId xmlns:a16="http://schemas.microsoft.com/office/drawing/2014/main" id="{00000000-0008-0000-0000-00002F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6"/>
              </a:ext>
            </a:extLst>
          </a:blip>
          <a:stretch>
            <a:fillRect/>
          </a:stretch>
        </xdr:blipFill>
        <xdr:spPr>
          <a:xfrm>
            <a:off x="9166413" y="134471"/>
            <a:ext cx="384048" cy="384048"/>
          </a:xfrm>
          <a:prstGeom prst="rect">
            <a:avLst/>
          </a:prstGeom>
        </xdr:spPr>
      </xdr:pic>
      <xdr:sp macro="" textlink="Dashboard!$B$15">
        <xdr:nvSpPr>
          <xdr:cNvPr id="1072" name="TextBox 1071">
            <a:extLst>
              <a:ext uri="{FF2B5EF4-FFF2-40B4-BE49-F238E27FC236}">
                <a16:creationId xmlns:a16="http://schemas.microsoft.com/office/drawing/2014/main" id="{00000000-0008-0000-0000-000030040000}"/>
              </a:ext>
            </a:extLst>
          </xdr:cNvPr>
          <xdr:cNvSpPr txBox="1"/>
        </xdr:nvSpPr>
        <xdr:spPr>
          <a:xfrm>
            <a:off x="9471211" y="68036"/>
            <a:ext cx="1402649" cy="83003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fld id="{DD9E8479-674F-44CB-8991-529704A0AA07}" type="TxLink">
              <a:rPr lang="en-US" sz="2000" b="1" i="0" u="none" strike="noStrike">
                <a:solidFill>
                  <a:srgbClr val="FFFF00"/>
                </a:solidFill>
                <a:latin typeface="Aptos Narrow"/>
                <a:cs typeface="Posterama" panose="020B0502040204020203" pitchFamily="34" charset="0"/>
              </a:rPr>
              <a:pPr algn="ctr"/>
              <a:t>5 Barang</a:t>
            </a:fld>
            <a:endParaRPr lang="en-US" sz="2000" b="1">
              <a:solidFill>
                <a:srgbClr val="FFFF00"/>
              </a:solidFill>
              <a:latin typeface="Posterama" panose="020B0502040204020203" pitchFamily="34" charset="0"/>
              <a:cs typeface="Posterama" panose="020B0502040204020203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29</xdr:row>
          <xdr:rowOff>180975</xdr:rowOff>
        </xdr:from>
        <xdr:to>
          <xdr:col>6</xdr:col>
          <xdr:colOff>28575</xdr:colOff>
          <xdr:row>31</xdr:row>
          <xdr:rowOff>9525</xdr:rowOff>
        </xdr:to>
        <xdr:sp macro="" textlink="">
          <xdr:nvSpPr>
            <xdr:cNvPr id="16" name="SpinButton1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122465</xdr:colOff>
      <xdr:row>2</xdr:row>
      <xdr:rowOff>1</xdr:rowOff>
    </xdr:from>
    <xdr:to>
      <xdr:col>7</xdr:col>
      <xdr:colOff>1673678</xdr:colOff>
      <xdr:row>6</xdr:row>
      <xdr:rowOff>68036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8</xdr:col>
      <xdr:colOff>141194</xdr:colOff>
      <xdr:row>0</xdr:row>
      <xdr:rowOff>72840</xdr:rowOff>
    </xdr:from>
    <xdr:to>
      <xdr:col>10</xdr:col>
      <xdr:colOff>952501</xdr:colOff>
      <xdr:row>4</xdr:row>
      <xdr:rowOff>140074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7681819" y="72840"/>
          <a:ext cx="2017807" cy="765734"/>
          <a:chOff x="6482123" y="72840"/>
          <a:chExt cx="1872664" cy="829234"/>
        </a:xfrm>
      </xdr:grpSpPr>
      <xdr:grpSp>
        <xdr:nvGrpSpPr>
          <xdr:cNvPr id="1079" name="Group 1078">
            <a:extLst>
              <a:ext uri="{FF2B5EF4-FFF2-40B4-BE49-F238E27FC236}">
                <a16:creationId xmlns:a16="http://schemas.microsoft.com/office/drawing/2014/main" id="{00000000-0008-0000-0000-000037040000}"/>
              </a:ext>
            </a:extLst>
          </xdr:cNvPr>
          <xdr:cNvGrpSpPr/>
        </xdr:nvGrpSpPr>
        <xdr:grpSpPr>
          <a:xfrm>
            <a:off x="6482123" y="72840"/>
            <a:ext cx="1872664" cy="829234"/>
            <a:chOff x="6461312" y="72840"/>
            <a:chExt cx="1696571" cy="829234"/>
          </a:xfrm>
        </xdr:grpSpPr>
        <xdr:sp macro="" textlink="">
          <xdr:nvSpPr>
            <xdr:cNvPr id="1043" name="Rectangle 1042">
              <a:extLs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>
            <a:xfrm>
              <a:off x="6461312" y="72840"/>
              <a:ext cx="1696571" cy="82923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>
          <xdr:nvPicPr>
            <xdr:cNvPr id="1059" name="Graphic 1058" descr="Money with solid fill">
              <a:extLs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9"/>
                </a:ext>
              </a:extLst>
            </a:blip>
            <a:stretch>
              <a:fillRect/>
            </a:stretch>
          </xdr:blipFill>
          <xdr:spPr>
            <a:xfrm>
              <a:off x="6565854" y="133675"/>
              <a:ext cx="384354" cy="384354"/>
            </a:xfrm>
            <a:prstGeom prst="rect">
              <a:avLst/>
            </a:prstGeom>
          </xdr:spPr>
        </xdr:pic>
      </xdr:grpSp>
      <xdr:sp macro="" textlink="Dashboard!$B$9">
        <xdr:nvSpPr>
          <xdr:cNvPr id="20" name="Rectangle: Rounded Corners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6504214" y="462643"/>
            <a:ext cx="1809751" cy="352425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A856280-C17D-464A-B78B-4E24AB97F879}" type="TxLink">
              <a:rPr lang="en-US" sz="1600" b="1" i="0" u="none" strike="noStrike">
                <a:ln>
                  <a:noFill/>
                </a:ln>
                <a:solidFill>
                  <a:srgbClr val="FFFF00"/>
                </a:solidFill>
                <a:latin typeface="Aptos Narrow"/>
              </a:rPr>
              <a:pPr algn="ctr"/>
              <a:t> IDR - </a:t>
            </a:fld>
            <a:endParaRPr lang="en-US" sz="1600" b="1">
              <a:ln>
                <a:noFill/>
              </a:ln>
              <a:solidFill>
                <a:srgbClr val="FFFF00"/>
              </a:solidFill>
            </a:endParaRPr>
          </a:p>
        </xdr:txBody>
      </xdr:sp>
      <xdr:sp macro="" textlink="Dashboard!$B$10">
        <xdr:nvSpPr>
          <xdr:cNvPr id="22" name="Rectangle: Rounded Corners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7021286" y="163286"/>
            <a:ext cx="1279071" cy="352425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fld id="{FD3A586A-5F66-4084-806A-82A9FE2F8663}" type="TxLink">
              <a:rPr lang="en-US" sz="1200" b="1" i="0" u="none" strike="noStrike">
                <a:ln>
                  <a:noFill/>
                </a:ln>
                <a:solidFill>
                  <a:srgbClr val="FFC000"/>
                </a:solidFill>
                <a:latin typeface="Aptos Narrow"/>
              </a:rPr>
              <a:pPr algn="l"/>
              <a:t> IDR 423,870 </a:t>
            </a:fld>
            <a:endParaRPr lang="en-US" sz="1200" b="1">
              <a:ln>
                <a:noFill/>
              </a:ln>
              <a:solidFill>
                <a:srgbClr val="FFC000"/>
              </a:solidFill>
            </a:endParaRPr>
          </a:p>
        </xdr:txBody>
      </xdr:sp>
    </xdr:grpSp>
    <xdr:clientData/>
  </xdr:twoCellAnchor>
  <xdr:twoCellAnchor>
    <xdr:from>
      <xdr:col>14</xdr:col>
      <xdr:colOff>324970</xdr:colOff>
      <xdr:row>0</xdr:row>
      <xdr:rowOff>72840</xdr:rowOff>
    </xdr:from>
    <xdr:to>
      <xdr:col>15</xdr:col>
      <xdr:colOff>1183821</xdr:colOff>
      <xdr:row>4</xdr:row>
      <xdr:rowOff>140074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pSpPr/>
      </xdr:nvGrpSpPr>
      <xdr:grpSpPr>
        <a:xfrm>
          <a:off x="13993345" y="72840"/>
          <a:ext cx="1795476" cy="765734"/>
          <a:chOff x="12040720" y="72840"/>
          <a:chExt cx="1688887" cy="829234"/>
        </a:xfrm>
      </xdr:grpSpPr>
      <xdr:grpSp>
        <xdr:nvGrpSpPr>
          <xdr:cNvPr id="1081" name="Group 1080">
            <a:extLst>
              <a:ext uri="{FF2B5EF4-FFF2-40B4-BE49-F238E27FC236}">
                <a16:creationId xmlns:a16="http://schemas.microsoft.com/office/drawing/2014/main" id="{00000000-0008-0000-0000-000039040000}"/>
              </a:ext>
            </a:extLst>
          </xdr:cNvPr>
          <xdr:cNvGrpSpPr/>
        </xdr:nvGrpSpPr>
        <xdr:grpSpPr>
          <a:xfrm>
            <a:off x="12040721" y="72840"/>
            <a:ext cx="1688886" cy="829234"/>
            <a:chOff x="11889442" y="72840"/>
            <a:chExt cx="1696571" cy="829234"/>
          </a:xfrm>
        </xdr:grpSpPr>
        <xdr:sp macro="" textlink="">
          <xdr:nvSpPr>
            <xdr:cNvPr id="1045" name="Rectangle 1044">
              <a:extLs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>
            <a:xfrm>
              <a:off x="11889442" y="72840"/>
              <a:ext cx="1696571" cy="82923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>
          <xdr:nvPicPr>
            <xdr:cNvPr id="1057" name="Graphic 1056" descr="Upward trend with solid fill">
              <a:extLs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1"/>
                </a:ext>
              </a:extLst>
            </a:blip>
            <a:stretch>
              <a:fillRect/>
            </a:stretch>
          </xdr:blipFill>
          <xdr:spPr>
            <a:xfrm>
              <a:off x="11906736" y="106942"/>
              <a:ext cx="384354" cy="384354"/>
            </a:xfrm>
            <a:prstGeom prst="rect">
              <a:avLst/>
            </a:prstGeom>
          </xdr:spPr>
        </xdr:pic>
        <xdr:sp macro="" textlink="Dashboard!$B$12">
          <xdr:nvSpPr>
            <xdr:cNvPr id="1073" name="TextBox 1072">
              <a:extLs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 txBox="1"/>
          </xdr:nvSpPr>
          <xdr:spPr>
            <a:xfrm>
              <a:off x="12301817" y="143434"/>
              <a:ext cx="1270526" cy="3017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spAutoFit/>
            </a:bodyPr>
            <a:lstStyle/>
            <a:p>
              <a:pPr algn="ctr"/>
              <a:fld id="{01F47C99-76B2-46EA-8C29-A429EF8C0F37}" type="TxLink">
                <a:rPr lang="en-US" sz="1200" b="1" i="0" u="none" strike="noStrike">
                  <a:solidFill>
                    <a:srgbClr val="CC9900"/>
                  </a:solidFill>
                  <a:latin typeface="Aptos Narrow"/>
                  <a:cs typeface="Posterama" panose="020B0502040204020203" pitchFamily="34" charset="0"/>
                </a:rPr>
                <a:pPr algn="ctr"/>
                <a:t>7 Barang</a:t>
              </a:fld>
              <a:endParaRPr lang="en-US" sz="1200" b="1">
                <a:solidFill>
                  <a:srgbClr val="CC9900"/>
                </a:solidFill>
                <a:latin typeface="Posterama" panose="020B0502040204020203" pitchFamily="34" charset="0"/>
                <a:cs typeface="Posterama" panose="020B0502040204020203" pitchFamily="34" charset="0"/>
              </a:endParaRPr>
            </a:p>
          </xdr:txBody>
        </xdr:sp>
      </xdr:grpSp>
      <xdr:sp macro="" textlink="Dashboard!$B$13">
        <xdr:nvSpPr>
          <xdr:cNvPr id="32" name="TextBox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 txBox="1"/>
        </xdr:nvSpPr>
        <xdr:spPr>
          <a:xfrm>
            <a:off x="12040720" y="535481"/>
            <a:ext cx="1675279" cy="30816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fld id="{A702A855-0F89-4491-9517-705B8C7F24DA}" type="TxLink">
              <a:rPr lang="en-US" sz="1600" b="1" i="0" u="none" strike="noStrike">
                <a:solidFill>
                  <a:srgbClr val="FFFF00"/>
                </a:solidFill>
                <a:latin typeface="Aptos Narrow"/>
                <a:cs typeface="Posterama" panose="020B0502040204020203" pitchFamily="34" charset="0"/>
              </a:rPr>
              <a:pPr algn="ctr"/>
              <a:t>0 Barang</a:t>
            </a:fld>
            <a:endParaRPr lang="en-US" sz="1600" b="1">
              <a:solidFill>
                <a:srgbClr val="FFFF00"/>
              </a:solidFill>
              <a:latin typeface="Posterama" panose="020B0502040204020203" pitchFamily="34" charset="0"/>
              <a:cs typeface="Posterama" panose="020B0502040204020203" pitchFamily="34" charset="0"/>
            </a:endParaRPr>
          </a:p>
        </xdr:txBody>
      </xdr:sp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hiki fernando" id="{CBAEE885-52A4-48C9-B51F-F2FA7406024E}" userId="82191043f862f546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4-04-28T16:30:32.39" personId="{CBAEE885-52A4-48C9-B51F-F2FA7406024E}" id="{F6D8EC04-5E95-4FCC-9C37-928F24A69728}">
    <text xml:space="preserve">Buat ukuran kertas menjadi 58 milimeter lebarnya
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26" Type="http://schemas.openxmlformats.org/officeDocument/2006/relationships/control" Target="../activeX/activeX13.xml"/><Relationship Id="rId3" Type="http://schemas.openxmlformats.org/officeDocument/2006/relationships/control" Target="../activeX/activeX1.x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5" Type="http://schemas.openxmlformats.org/officeDocument/2006/relationships/image" Target="../media/image11.emf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29" Type="http://schemas.openxmlformats.org/officeDocument/2006/relationships/image" Target="../media/image13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24" Type="http://schemas.openxmlformats.org/officeDocument/2006/relationships/control" Target="../activeX/activeX12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control" Target="../activeX/activeX14.xml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Relationship Id="rId22" Type="http://schemas.openxmlformats.org/officeDocument/2006/relationships/image" Target="../media/image10.emf"/><Relationship Id="rId27" Type="http://schemas.openxmlformats.org/officeDocument/2006/relationships/image" Target="../media/image12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54F3C-6B40-4AFD-B9D3-10F12A5C500C}">
  <sheetPr codeName="Sheet1"/>
  <dimension ref="F6:Q33"/>
  <sheetViews>
    <sheetView showGridLines="0" tabSelected="1" zoomScale="60" zoomScaleNormal="60" workbookViewId="0">
      <selection activeCell="S23" sqref="S23"/>
    </sheetView>
  </sheetViews>
  <sheetFormatPr defaultRowHeight="14.25"/>
  <cols>
    <col min="5" max="5" width="7.875" customWidth="1"/>
    <col min="6" max="6" width="21.75" bestFit="1" customWidth="1"/>
    <col min="7" max="7" width="1.875" customWidth="1"/>
    <col min="8" max="8" width="31.625" bestFit="1" customWidth="1"/>
    <col min="9" max="9" width="2.25" customWidth="1"/>
    <col min="10" max="10" width="13.625" customWidth="1"/>
    <col min="11" max="11" width="28" customWidth="1"/>
    <col min="12" max="12" width="8.125" bestFit="1" customWidth="1"/>
    <col min="13" max="13" width="8.75" bestFit="1" customWidth="1"/>
    <col min="14" max="14" width="19.75" customWidth="1"/>
    <col min="15" max="15" width="12.375" bestFit="1" customWidth="1"/>
    <col min="16" max="16" width="23" customWidth="1"/>
    <col min="17" max="17" width="27.875" customWidth="1"/>
  </cols>
  <sheetData>
    <row r="6" spans="6:17" ht="6" customHeight="1">
      <c r="J6" s="9"/>
      <c r="K6" s="9"/>
      <c r="L6" s="9"/>
      <c r="M6" s="9"/>
      <c r="N6" s="9"/>
      <c r="O6" s="9"/>
      <c r="P6" s="9"/>
      <c r="Q6" s="9"/>
    </row>
    <row r="9" spans="6:17" ht="15">
      <c r="F9" s="1" t="s">
        <v>0</v>
      </c>
      <c r="G9" s="2" t="s">
        <v>5</v>
      </c>
      <c r="H9" s="44"/>
      <c r="J9" s="7" t="s">
        <v>6</v>
      </c>
      <c r="K9" s="7" t="s">
        <v>7</v>
      </c>
      <c r="L9" s="7" t="s">
        <v>8</v>
      </c>
      <c r="M9" s="7" t="s">
        <v>9</v>
      </c>
      <c r="N9" s="7" t="s">
        <v>10</v>
      </c>
      <c r="O9" s="7" t="s">
        <v>12</v>
      </c>
      <c r="P9" s="7" t="s">
        <v>13</v>
      </c>
      <c r="Q9" s="7" t="s">
        <v>11</v>
      </c>
    </row>
    <row r="10" spans="6:17" ht="15">
      <c r="F10" s="3" t="s">
        <v>1</v>
      </c>
      <c r="G10" s="4" t="s">
        <v>5</v>
      </c>
      <c r="H10" s="45"/>
      <c r="J10" s="36"/>
      <c r="K10" s="37"/>
      <c r="L10" s="37"/>
      <c r="M10" s="36"/>
      <c r="N10" s="38"/>
      <c r="O10" s="39"/>
      <c r="P10" s="14" t="str">
        <f>IF(M10="","",O10*N10)</f>
        <v/>
      </c>
      <c r="Q10" s="14" t="str">
        <f t="shared" ref="Q10:Q26" si="0">IF(M10="","",M10*N10)</f>
        <v/>
      </c>
    </row>
    <row r="11" spans="6:17">
      <c r="F11" s="50" t="s">
        <v>2</v>
      </c>
      <c r="G11" s="51" t="s">
        <v>5</v>
      </c>
      <c r="H11" s="49" t="str">
        <f ca="1">IFERROR(VLOOKUP($H$10,DataCostumer,2,FALSE),"")</f>
        <v/>
      </c>
      <c r="J11" s="40"/>
      <c r="K11" s="41"/>
      <c r="L11" s="41"/>
      <c r="M11" s="40"/>
      <c r="N11" s="42"/>
      <c r="O11" s="43"/>
      <c r="P11" s="14" t="str">
        <f>IF(M11="","",O11*N11)</f>
        <v/>
      </c>
      <c r="Q11" s="14" t="str">
        <f t="shared" si="0"/>
        <v/>
      </c>
    </row>
    <row r="12" spans="6:17">
      <c r="F12" s="50"/>
      <c r="G12" s="51"/>
      <c r="H12" s="49"/>
      <c r="J12" s="40"/>
      <c r="K12" s="41"/>
      <c r="L12" s="41"/>
      <c r="M12" s="40"/>
      <c r="N12" s="42"/>
      <c r="O12" s="43"/>
      <c r="P12" s="14" t="str">
        <f>IF(M12="","",O12*N12)</f>
        <v/>
      </c>
      <c r="Q12" s="14" t="str">
        <f t="shared" si="0"/>
        <v/>
      </c>
    </row>
    <row r="13" spans="6:17">
      <c r="F13" s="50"/>
      <c r="G13" s="51"/>
      <c r="H13" s="49"/>
      <c r="J13" s="40"/>
      <c r="K13" s="41"/>
      <c r="L13" s="41"/>
      <c r="M13" s="40"/>
      <c r="N13" s="42"/>
      <c r="O13" s="43"/>
      <c r="P13" s="14" t="str">
        <f>IF(M13="","",O13*N13*M13)</f>
        <v/>
      </c>
      <c r="Q13" s="14" t="str">
        <f t="shared" si="0"/>
        <v/>
      </c>
    </row>
    <row r="14" spans="6:17" ht="15">
      <c r="F14" s="3" t="s">
        <v>3</v>
      </c>
      <c r="G14" s="4" t="s">
        <v>5</v>
      </c>
      <c r="H14" s="3" t="str">
        <f ca="1">IFERROR(VLOOKUP($H$10,DataCostumer,3,FALSE),"")</f>
        <v/>
      </c>
      <c r="J14" s="40"/>
      <c r="K14" s="41"/>
      <c r="L14" s="41"/>
      <c r="M14" s="40"/>
      <c r="N14" s="42"/>
      <c r="O14" s="43"/>
      <c r="P14" s="14" t="str">
        <f t="shared" ref="P14:P26" si="1">IF(M14="","",O14*N14)</f>
        <v/>
      </c>
      <c r="Q14" s="14" t="str">
        <f t="shared" si="0"/>
        <v/>
      </c>
    </row>
    <row r="15" spans="6:17" ht="15">
      <c r="F15" s="5" t="s">
        <v>4</v>
      </c>
      <c r="G15" s="6" t="s">
        <v>5</v>
      </c>
      <c r="H15" s="5" t="str">
        <f ca="1">IFERROR(VLOOKUP($H$10,DataCostumer,4,FALSE),"")</f>
        <v/>
      </c>
      <c r="J15" s="40"/>
      <c r="K15" s="41"/>
      <c r="L15" s="41"/>
      <c r="M15" s="40"/>
      <c r="N15" s="42"/>
      <c r="O15" s="43"/>
      <c r="P15" s="14" t="str">
        <f t="shared" si="1"/>
        <v/>
      </c>
      <c r="Q15" s="14" t="str">
        <f t="shared" si="0"/>
        <v/>
      </c>
    </row>
    <row r="16" spans="6:17">
      <c r="J16" s="40"/>
      <c r="K16" s="41"/>
      <c r="L16" s="41"/>
      <c r="M16" s="40"/>
      <c r="N16" s="42"/>
      <c r="O16" s="43"/>
      <c r="P16" s="14" t="str">
        <f t="shared" si="1"/>
        <v/>
      </c>
      <c r="Q16" s="14" t="str">
        <f t="shared" si="0"/>
        <v/>
      </c>
    </row>
    <row r="17" spans="6:17">
      <c r="J17" s="40"/>
      <c r="K17" s="41"/>
      <c r="L17" s="41"/>
      <c r="M17" s="40"/>
      <c r="N17" s="42"/>
      <c r="O17" s="43"/>
      <c r="P17" s="14" t="str">
        <f t="shared" si="1"/>
        <v/>
      </c>
      <c r="Q17" s="14" t="str">
        <f t="shared" si="0"/>
        <v/>
      </c>
    </row>
    <row r="18" spans="6:17">
      <c r="J18" s="40"/>
      <c r="K18" s="41"/>
      <c r="L18" s="41"/>
      <c r="M18" s="40"/>
      <c r="N18" s="42"/>
      <c r="O18" s="43"/>
      <c r="P18" s="14" t="str">
        <f t="shared" si="1"/>
        <v/>
      </c>
      <c r="Q18" s="14" t="str">
        <f t="shared" si="0"/>
        <v/>
      </c>
    </row>
    <row r="19" spans="6:17">
      <c r="J19" s="40"/>
      <c r="K19" s="41"/>
      <c r="L19" s="41"/>
      <c r="M19" s="40"/>
      <c r="N19" s="42"/>
      <c r="O19" s="43"/>
      <c r="P19" s="14" t="str">
        <f t="shared" si="1"/>
        <v/>
      </c>
      <c r="Q19" s="14" t="str">
        <f t="shared" si="0"/>
        <v/>
      </c>
    </row>
    <row r="20" spans="6:17">
      <c r="J20" s="40"/>
      <c r="K20" s="41"/>
      <c r="L20" s="41"/>
      <c r="M20" s="40"/>
      <c r="N20" s="42"/>
      <c r="O20" s="43"/>
      <c r="P20" s="14" t="str">
        <f t="shared" si="1"/>
        <v/>
      </c>
      <c r="Q20" s="14" t="str">
        <f t="shared" si="0"/>
        <v/>
      </c>
    </row>
    <row r="21" spans="6:17">
      <c r="J21" s="40"/>
      <c r="K21" s="41"/>
      <c r="L21" s="41"/>
      <c r="M21" s="40"/>
      <c r="N21" s="42"/>
      <c r="O21" s="43"/>
      <c r="P21" s="14" t="str">
        <f t="shared" si="1"/>
        <v/>
      </c>
      <c r="Q21" s="14" t="str">
        <f t="shared" si="0"/>
        <v/>
      </c>
    </row>
    <row r="22" spans="6:17">
      <c r="J22" s="40"/>
      <c r="K22" s="41"/>
      <c r="L22" s="41"/>
      <c r="M22" s="40"/>
      <c r="N22" s="42"/>
      <c r="O22" s="43"/>
      <c r="P22" s="14" t="str">
        <f t="shared" si="1"/>
        <v/>
      </c>
      <c r="Q22" s="14" t="str">
        <f t="shared" si="0"/>
        <v/>
      </c>
    </row>
    <row r="23" spans="6:17">
      <c r="J23" s="40"/>
      <c r="K23" s="41"/>
      <c r="L23" s="41"/>
      <c r="M23" s="40"/>
      <c r="N23" s="42"/>
      <c r="O23" s="43"/>
      <c r="P23" s="14" t="str">
        <f t="shared" si="1"/>
        <v/>
      </c>
      <c r="Q23" s="14" t="str">
        <f t="shared" si="0"/>
        <v/>
      </c>
    </row>
    <row r="24" spans="6:17">
      <c r="J24" s="40"/>
      <c r="K24" s="41"/>
      <c r="L24" s="41"/>
      <c r="M24" s="40"/>
      <c r="N24" s="42"/>
      <c r="O24" s="43"/>
      <c r="P24" s="14" t="str">
        <f t="shared" si="1"/>
        <v/>
      </c>
      <c r="Q24" s="14" t="str">
        <f t="shared" si="0"/>
        <v/>
      </c>
    </row>
    <row r="25" spans="6:17">
      <c r="J25" s="40"/>
      <c r="K25" s="41"/>
      <c r="L25" s="41"/>
      <c r="M25" s="40"/>
      <c r="N25" s="42"/>
      <c r="O25" s="43"/>
      <c r="P25" s="14" t="str">
        <f t="shared" si="1"/>
        <v/>
      </c>
      <c r="Q25" s="14" t="str">
        <f t="shared" si="0"/>
        <v/>
      </c>
    </row>
    <row r="26" spans="6:17">
      <c r="J26" s="40"/>
      <c r="K26" s="41"/>
      <c r="L26" s="41"/>
      <c r="M26" s="40"/>
      <c r="N26" s="42"/>
      <c r="O26" s="43"/>
      <c r="P26" s="14" t="str">
        <f t="shared" si="1"/>
        <v/>
      </c>
      <c r="Q26" s="14" t="str">
        <f t="shared" si="0"/>
        <v/>
      </c>
    </row>
    <row r="27" spans="6:17" ht="6" customHeight="1">
      <c r="J27" s="8"/>
      <c r="K27" s="8"/>
      <c r="L27" s="8"/>
      <c r="M27" s="8"/>
      <c r="N27" s="8"/>
      <c r="O27" s="8"/>
      <c r="P27" s="8"/>
      <c r="Q27" s="8"/>
    </row>
    <row r="31" spans="6:17" ht="18">
      <c r="F31" s="46"/>
      <c r="H31" s="29">
        <f ca="1">TODAY()+$F$31</f>
        <v>45533</v>
      </c>
    </row>
    <row r="33" spans="10:17" ht="6" customHeight="1">
      <c r="J33" s="9"/>
      <c r="K33" s="9"/>
      <c r="L33" s="9"/>
      <c r="M33" s="9"/>
      <c r="N33" s="9"/>
      <c r="O33" s="9"/>
      <c r="P33" s="9"/>
      <c r="Q33" s="9"/>
    </row>
  </sheetData>
  <sortState xmlns:xlrd2="http://schemas.microsoft.com/office/spreadsheetml/2017/richdata2" ref="J10:Q26">
    <sortCondition ref="J9"/>
  </sortState>
  <mergeCells count="3">
    <mergeCell ref="H11:H13"/>
    <mergeCell ref="F11:F13"/>
    <mergeCell ref="G11:G13"/>
  </mergeCells>
  <dataValidations count="1">
    <dataValidation type="list" errorStyle="warning" allowBlank="1" showInputMessage="1" showErrorMessage="1" errorTitle="Data Kosong" error="Nama Costumer Belum Terdaftar" promptTitle="Pilih Customer" prompt="Silahkan pilih Customer yang telah tersedia" sqref="H10" xr:uid="{07B09C61-E1E3-4E82-A889-F9F6FBC03538}">
      <formula1>NAMACOSTUMER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" r:id="rId3" name="SpinButton1">
          <controlPr defaultSize="0" autoLine="0" r:id="rId4">
            <anchor moveWithCells="1">
              <from>
                <xdr:col>4</xdr:col>
                <xdr:colOff>514350</xdr:colOff>
                <xdr:row>30</xdr:row>
                <xdr:rowOff>0</xdr:rowOff>
              </from>
              <to>
                <xdr:col>5</xdr:col>
                <xdr:colOff>1400175</xdr:colOff>
                <xdr:row>31</xdr:row>
                <xdr:rowOff>28575</xdr:rowOff>
              </to>
            </anchor>
          </controlPr>
        </control>
      </mc:Choice>
      <mc:Fallback>
        <control shapeId="1039" r:id="rId3" name="SpinButton1"/>
      </mc:Fallback>
    </mc:AlternateContent>
    <mc:AlternateContent xmlns:mc="http://schemas.openxmlformats.org/markup-compatibility/2006">
      <mc:Choice Requires="x14">
        <control shapeId="1025" r:id="rId5" name="NAMATOKO">
          <controlPr defaultSize="0" disabled="1" autoLine="0" r:id="rId6">
            <anchor moveWithCells="1">
              <from>
                <xdr:col>0</xdr:col>
                <xdr:colOff>247650</xdr:colOff>
                <xdr:row>3</xdr:row>
                <xdr:rowOff>57150</xdr:rowOff>
              </from>
              <to>
                <xdr:col>4</xdr:col>
                <xdr:colOff>133350</xdr:colOff>
                <xdr:row>5</xdr:row>
                <xdr:rowOff>28575</xdr:rowOff>
              </to>
            </anchor>
          </controlPr>
        </control>
      </mc:Choice>
      <mc:Fallback>
        <control shapeId="1025" r:id="rId5" name="NAMATOKO"/>
      </mc:Fallback>
    </mc:AlternateContent>
    <mc:AlternateContent xmlns:mc="http://schemas.openxmlformats.org/markup-compatibility/2006">
      <mc:Choice Requires="x14">
        <control shapeId="1027" r:id="rId7" name="ALAMAT">
          <controlPr defaultSize="0" disabled="1" autoLine="0" r:id="rId8">
            <anchor moveWithCells="1">
              <from>
                <xdr:col>0</xdr:col>
                <xdr:colOff>276225</xdr:colOff>
                <xdr:row>7</xdr:row>
                <xdr:rowOff>133350</xdr:rowOff>
              </from>
              <to>
                <xdr:col>4</xdr:col>
                <xdr:colOff>152400</xdr:colOff>
                <xdr:row>9</xdr:row>
                <xdr:rowOff>57150</xdr:rowOff>
              </to>
            </anchor>
          </controlPr>
        </control>
      </mc:Choice>
      <mc:Fallback>
        <control shapeId="1027" r:id="rId7" name="ALAMAT"/>
      </mc:Fallback>
    </mc:AlternateContent>
    <mc:AlternateContent xmlns:mc="http://schemas.openxmlformats.org/markup-compatibility/2006">
      <mc:Choice Requires="x14">
        <control shapeId="1028" r:id="rId9" name="TELPON">
          <controlPr defaultSize="0" disabled="1" autoLine="0" r:id="rId10">
            <anchor moveWithCells="1">
              <from>
                <xdr:col>0</xdr:col>
                <xdr:colOff>257175</xdr:colOff>
                <xdr:row>11</xdr:row>
                <xdr:rowOff>76200</xdr:rowOff>
              </from>
              <to>
                <xdr:col>4</xdr:col>
                <xdr:colOff>142875</xdr:colOff>
                <xdr:row>13</xdr:row>
                <xdr:rowOff>57150</xdr:rowOff>
              </to>
            </anchor>
          </controlPr>
        </control>
      </mc:Choice>
      <mc:Fallback>
        <control shapeId="1028" r:id="rId9" name="TELPON"/>
      </mc:Fallback>
    </mc:AlternateContent>
    <mc:AlternateContent xmlns:mc="http://schemas.openxmlformats.org/markup-compatibility/2006">
      <mc:Choice Requires="x14">
        <control shapeId="1029" r:id="rId11" name="EMAIL">
          <controlPr defaultSize="0" disabled="1" autoLine="0" r:id="rId12">
            <anchor moveWithCells="1">
              <from>
                <xdr:col>0</xdr:col>
                <xdr:colOff>257175</xdr:colOff>
                <xdr:row>15</xdr:row>
                <xdr:rowOff>104775</xdr:rowOff>
              </from>
              <to>
                <xdr:col>4</xdr:col>
                <xdr:colOff>133350</xdr:colOff>
                <xdr:row>17</xdr:row>
                <xdr:rowOff>95250</xdr:rowOff>
              </to>
            </anchor>
          </controlPr>
        </control>
      </mc:Choice>
      <mc:Fallback>
        <control shapeId="1029" r:id="rId11" name="EMAIL"/>
      </mc:Fallback>
    </mc:AlternateContent>
    <mc:AlternateContent xmlns:mc="http://schemas.openxmlformats.org/markup-compatibility/2006">
      <mc:Choice Requires="x14">
        <control shapeId="1030" r:id="rId13" name="CariBarang">
          <controlPr defaultSize="0" autoLine="0" autoPict="0" r:id="rId14">
            <anchor moveWithCells="1">
              <from>
                <xdr:col>5</xdr:col>
                <xdr:colOff>9525</xdr:colOff>
                <xdr:row>16</xdr:row>
                <xdr:rowOff>171450</xdr:rowOff>
              </from>
              <to>
                <xdr:col>7</xdr:col>
                <xdr:colOff>1057275</xdr:colOff>
                <xdr:row>18</xdr:row>
                <xdr:rowOff>142875</xdr:rowOff>
              </to>
            </anchor>
          </controlPr>
        </control>
      </mc:Choice>
      <mc:Fallback>
        <control shapeId="1030" r:id="rId13" name="CariBarang"/>
      </mc:Fallback>
    </mc:AlternateContent>
    <mc:AlternateContent xmlns:mc="http://schemas.openxmlformats.org/markup-compatibility/2006">
      <mc:Choice Requires="x14">
        <control shapeId="1031" r:id="rId15" name="TabelDataBarang">
          <controlPr defaultSize="0" print="0" autoLine="0" autoPict="0" listFillRange="DataBaseBarang!A5:G9" r:id="rId16">
            <anchor>
              <from>
                <xdr:col>4</xdr:col>
                <xdr:colOff>504825</xdr:colOff>
                <xdr:row>19</xdr:row>
                <xdr:rowOff>47625</xdr:rowOff>
              </from>
              <to>
                <xdr:col>8</xdr:col>
                <xdr:colOff>9525</xdr:colOff>
                <xdr:row>29</xdr:row>
                <xdr:rowOff>104775</xdr:rowOff>
              </to>
            </anchor>
          </controlPr>
        </control>
      </mc:Choice>
      <mc:Fallback>
        <control shapeId="1031" r:id="rId15" name="TabelDataBarang"/>
      </mc:Fallback>
    </mc:AlternateContent>
    <mc:AlternateContent xmlns:mc="http://schemas.openxmlformats.org/markup-compatibility/2006">
      <mc:Choice Requires="x14">
        <control shapeId="1032" r:id="rId17" name="DISKON">
          <controlPr defaultSize="0" autoLine="0" autoPict="0" r:id="rId18">
            <anchor moveWithCells="1">
              <from>
                <xdr:col>10</xdr:col>
                <xdr:colOff>409575</xdr:colOff>
                <xdr:row>27</xdr:row>
                <xdr:rowOff>47625</xdr:rowOff>
              </from>
              <to>
                <xdr:col>11</xdr:col>
                <xdr:colOff>457200</xdr:colOff>
                <xdr:row>29</xdr:row>
                <xdr:rowOff>19050</xdr:rowOff>
              </to>
            </anchor>
          </controlPr>
        </control>
      </mc:Choice>
      <mc:Fallback>
        <control shapeId="1032" r:id="rId17" name="DISKON"/>
      </mc:Fallback>
    </mc:AlternateContent>
    <mc:AlternateContent xmlns:mc="http://schemas.openxmlformats.org/markup-compatibility/2006">
      <mc:Choice Requires="x14">
        <control shapeId="1033" r:id="rId19" name="TOTALHARGA">
          <controlPr defaultSize="0" autoLine="0" autoPict="0" r:id="rId20">
            <anchor moveWithCells="1">
              <from>
                <xdr:col>10</xdr:col>
                <xdr:colOff>400050</xdr:colOff>
                <xdr:row>29</xdr:row>
                <xdr:rowOff>152400</xdr:rowOff>
              </from>
              <to>
                <xdr:col>11</xdr:col>
                <xdr:colOff>457200</xdr:colOff>
                <xdr:row>31</xdr:row>
                <xdr:rowOff>76200</xdr:rowOff>
              </to>
            </anchor>
          </controlPr>
        </control>
      </mc:Choice>
      <mc:Fallback>
        <control shapeId="1033" r:id="rId19" name="TOTALHARGA"/>
      </mc:Fallback>
    </mc:AlternateContent>
    <mc:AlternateContent xmlns:mc="http://schemas.openxmlformats.org/markup-compatibility/2006">
      <mc:Choice Requires="x14">
        <control shapeId="1034" r:id="rId21" name="TOTALBAYAR">
          <controlPr defaultSize="0" autoLine="0" r:id="rId22">
            <anchor moveWithCells="1">
              <from>
                <xdr:col>13</xdr:col>
                <xdr:colOff>581025</xdr:colOff>
                <xdr:row>27</xdr:row>
                <xdr:rowOff>57150</xdr:rowOff>
              </from>
              <to>
                <xdr:col>15</xdr:col>
                <xdr:colOff>28575</xdr:colOff>
                <xdr:row>29</xdr:row>
                <xdr:rowOff>47625</xdr:rowOff>
              </to>
            </anchor>
          </controlPr>
        </control>
      </mc:Choice>
      <mc:Fallback>
        <control shapeId="1034" r:id="rId21" name="TOTALBAYAR"/>
      </mc:Fallback>
    </mc:AlternateContent>
    <mc:AlternateContent xmlns:mc="http://schemas.openxmlformats.org/markup-compatibility/2006">
      <mc:Choice Requires="x14">
        <control shapeId="1035" r:id="rId23" name="BAYAR">
          <controlPr defaultSize="0" autoLine="0" r:id="rId22">
            <anchor moveWithCells="1">
              <from>
                <xdr:col>13</xdr:col>
                <xdr:colOff>590550</xdr:colOff>
                <xdr:row>29</xdr:row>
                <xdr:rowOff>142875</xdr:rowOff>
              </from>
              <to>
                <xdr:col>15</xdr:col>
                <xdr:colOff>38100</xdr:colOff>
                <xdr:row>31</xdr:row>
                <xdr:rowOff>85725</xdr:rowOff>
              </to>
            </anchor>
          </controlPr>
        </control>
      </mc:Choice>
      <mc:Fallback>
        <control shapeId="1035" r:id="rId23" name="BAYAR"/>
      </mc:Fallback>
    </mc:AlternateContent>
    <mc:AlternateContent xmlns:mc="http://schemas.openxmlformats.org/markup-compatibility/2006">
      <mc:Choice Requires="x14">
        <control shapeId="1036" r:id="rId24" name="KEMBALIAN">
          <controlPr defaultSize="0" autoLine="0" r:id="rId25">
            <anchor moveWithCells="1">
              <from>
                <xdr:col>15</xdr:col>
                <xdr:colOff>1457325</xdr:colOff>
                <xdr:row>27</xdr:row>
                <xdr:rowOff>57150</xdr:rowOff>
              </from>
              <to>
                <xdr:col>16</xdr:col>
                <xdr:colOff>1609725</xdr:colOff>
                <xdr:row>29</xdr:row>
                <xdr:rowOff>47625</xdr:rowOff>
              </to>
            </anchor>
          </controlPr>
        </control>
      </mc:Choice>
      <mc:Fallback>
        <control shapeId="1036" r:id="rId24" name="KEMBALIAN"/>
      </mc:Fallback>
    </mc:AlternateContent>
    <mc:AlternateContent xmlns:mc="http://schemas.openxmlformats.org/markup-compatibility/2006">
      <mc:Choice Requires="x14">
        <control shapeId="6" r:id="rId26" name="Tanggal">
          <controlPr defaultSize="0" autoLine="0" r:id="rId27">
            <anchor moveWithCells="1">
              <from>
                <xdr:col>15</xdr:col>
                <xdr:colOff>647700</xdr:colOff>
                <xdr:row>6</xdr:row>
                <xdr:rowOff>28575</xdr:rowOff>
              </from>
              <to>
                <xdr:col>16</xdr:col>
                <xdr:colOff>809625</xdr:colOff>
                <xdr:row>7</xdr:row>
                <xdr:rowOff>133350</xdr:rowOff>
              </to>
            </anchor>
          </controlPr>
        </control>
      </mc:Choice>
      <mc:Fallback>
        <control shapeId="1037" r:id="rId26" name="Tanggal"/>
      </mc:Fallback>
    </mc:AlternateContent>
    <mc:AlternateContent xmlns:mc="http://schemas.openxmlformats.org/markup-compatibility/2006">
      <mc:Choice Requires="x14">
        <control shapeId="5" r:id="rId28" name="Image1">
          <controlPr defaultSize="0" autoLine="0" r:id="rId29">
            <anchor moveWithCells="1">
              <from>
                <xdr:col>16</xdr:col>
                <xdr:colOff>685800</xdr:colOff>
                <xdr:row>0</xdr:row>
                <xdr:rowOff>114300</xdr:rowOff>
              </from>
              <to>
                <xdr:col>16</xdr:col>
                <xdr:colOff>1743075</xdr:colOff>
                <xdr:row>4</xdr:row>
                <xdr:rowOff>142875</xdr:rowOff>
              </to>
            </anchor>
          </controlPr>
        </control>
      </mc:Choice>
      <mc:Fallback>
        <control shapeId="1038" r:id="rId28" name="Image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153A91-9505-40B3-96F1-A50B68A5F35D}">
  <sheetPr codeName="Sheet9"/>
  <dimension ref="B3:H15"/>
  <sheetViews>
    <sheetView workbookViewId="0">
      <selection activeCell="J15" sqref="J15"/>
    </sheetView>
  </sheetViews>
  <sheetFormatPr defaultRowHeight="14.25"/>
  <cols>
    <col min="2" max="2" width="16.125" bestFit="1" customWidth="1"/>
    <col min="3" max="6" width="9.375" bestFit="1" customWidth="1"/>
    <col min="7" max="8" width="9.625" bestFit="1" customWidth="1"/>
  </cols>
  <sheetData>
    <row r="3" spans="2:8">
      <c r="B3" s="31">
        <f ca="1">Transaksi!$H$31</f>
        <v>45533</v>
      </c>
      <c r="C3" s="52" t="s">
        <v>42</v>
      </c>
      <c r="D3" s="52"/>
      <c r="E3" s="52"/>
      <c r="F3" s="52"/>
      <c r="G3" s="52"/>
      <c r="H3" s="52"/>
    </row>
    <row r="5" spans="2:8">
      <c r="B5" s="35">
        <f t="shared" ref="B5:F5" ca="1" si="0">C5-1</f>
        <v>45527</v>
      </c>
      <c r="C5" s="34">
        <f t="shared" ca="1" si="0"/>
        <v>45528</v>
      </c>
      <c r="D5" s="34">
        <f t="shared" ca="1" si="0"/>
        <v>45529</v>
      </c>
      <c r="E5" s="34">
        <f t="shared" ca="1" si="0"/>
        <v>45530</v>
      </c>
      <c r="F5" s="34">
        <f t="shared" ca="1" si="0"/>
        <v>45531</v>
      </c>
      <c r="G5" s="34">
        <f ca="1">H5-1</f>
        <v>45532</v>
      </c>
      <c r="H5" s="34">
        <f ca="1">$B$3</f>
        <v>45533</v>
      </c>
    </row>
    <row r="6" spans="2:8">
      <c r="B6" s="30">
        <f ca="1">DAY(B5)</f>
        <v>23</v>
      </c>
      <c r="C6" s="30">
        <f t="shared" ref="C6:H6" ca="1" si="1">DAY(C5)</f>
        <v>24</v>
      </c>
      <c r="D6" s="30">
        <f t="shared" ca="1" si="1"/>
        <v>25</v>
      </c>
      <c r="E6" s="30">
        <f t="shared" ca="1" si="1"/>
        <v>26</v>
      </c>
      <c r="F6" s="30">
        <f t="shared" ca="1" si="1"/>
        <v>27</v>
      </c>
      <c r="G6" s="30">
        <f t="shared" ca="1" si="1"/>
        <v>28</v>
      </c>
      <c r="H6" s="30">
        <f t="shared" ca="1" si="1"/>
        <v>29</v>
      </c>
    </row>
    <row r="7" spans="2:8">
      <c r="B7" s="30">
        <f ca="1">SUMIF(LaporanTransaksi!$B$5:$B$999998,Dashboard!B$5,LaporanTransaksi!G5:$G$999998)</f>
        <v>0</v>
      </c>
      <c r="C7" s="30">
        <f ca="1">SUMIF(LaporanTransaksi!$B$5:$B$999998,Dashboard!C$5,LaporanTransaksi!$G5:H$999998)</f>
        <v>0</v>
      </c>
      <c r="D7" s="30">
        <f ca="1">SUMIF(LaporanTransaksi!$B$5:$B$999998,Dashboard!D$5,LaporanTransaksi!$G5:I$999998)</f>
        <v>0</v>
      </c>
      <c r="E7" s="30">
        <f ca="1">SUMIF(LaporanTransaksi!$B$5:$B$999998,Dashboard!E$5,LaporanTransaksi!$G5:J$999998)</f>
        <v>0</v>
      </c>
      <c r="F7" s="30">
        <f ca="1">SUMIF(LaporanTransaksi!$B$5:$B$999998,Dashboard!F$5,LaporanTransaksi!$G5:K$999998)</f>
        <v>0</v>
      </c>
      <c r="G7" s="30">
        <f ca="1">SUMIF(LaporanTransaksi!$B$5:$B$999998,Dashboard!G$5,LaporanTransaksi!$G5:L$999998)</f>
        <v>0</v>
      </c>
      <c r="H7" s="30">
        <f ca="1">SUMIF(LaporanTransaksi!$B$5:$B$999998,Dashboard!H$5,LaporanTransaksi!$G5:M$999998)</f>
        <v>0</v>
      </c>
    </row>
    <row r="9" spans="2:8">
      <c r="B9" s="32">
        <f ca="1">SUMIF(LaporanTransaksi!B5:$B$799998,Dashboard!$B$3,LaporanTransaksi!$K$5:$K$799998)-SUMIF(LaporanTransaksi!B5:$B$799998,Dashboard!$B$3,LaporanTransaksi!$J$5:$J$799998)</f>
        <v>0</v>
      </c>
      <c r="C9" t="s">
        <v>43</v>
      </c>
    </row>
    <row r="10" spans="2:8">
      <c r="B10" s="32">
        <f>SUM(LaporanTransaksi!$K$5:$K$799998)-SUM(LaporanTransaksi!$J$5:$J$799998)</f>
        <v>423870</v>
      </c>
      <c r="C10" t="s">
        <v>44</v>
      </c>
    </row>
    <row r="12" spans="2:8">
      <c r="B12" s="33" t="str">
        <f>SUM(LaporanTransaksi!$G$5:$G$799998)&amp;" Barang"</f>
        <v>7 Barang</v>
      </c>
      <c r="C12" t="s">
        <v>45</v>
      </c>
    </row>
    <row r="13" spans="2:8">
      <c r="B13" s="33" t="str">
        <f ca="1">SUMIF(LaporanTransaksi!$B$5:$B$799998,Dashboard!$B$3,LaporanTransaksi!$G$5:$G$799998)&amp;" Barang"</f>
        <v>0 Barang</v>
      </c>
      <c r="C13" t="s">
        <v>47</v>
      </c>
    </row>
    <row r="15" spans="2:8">
      <c r="B15" s="33" t="str">
        <f>COUNTA(DataBaseBarang!$A$5:$A$700000)&amp;" Barang"</f>
        <v>5 Barang</v>
      </c>
      <c r="C15" t="s">
        <v>46</v>
      </c>
    </row>
  </sheetData>
  <mergeCells count="1">
    <mergeCell ref="C3:H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5E20A-138E-48B5-8D8B-0443C36DAF9D}">
  <sheetPr codeName="Sheet4"/>
  <dimension ref="A1:Z40"/>
  <sheetViews>
    <sheetView topLeftCell="M1" workbookViewId="0">
      <selection activeCell="D4" sqref="D4"/>
    </sheetView>
  </sheetViews>
  <sheetFormatPr defaultRowHeight="14.25"/>
  <cols>
    <col min="1" max="1" width="16.375" bestFit="1" customWidth="1"/>
    <col min="2" max="2" width="15.125" style="28" customWidth="1"/>
    <col min="3" max="3" width="24" customWidth="1"/>
    <col min="4" max="4" width="14.75" customWidth="1"/>
    <col min="5" max="5" width="26.75" customWidth="1"/>
    <col min="6" max="6" width="7.125" bestFit="1" customWidth="1"/>
    <col min="7" max="7" width="7.375" bestFit="1" customWidth="1"/>
    <col min="8" max="8" width="16" customWidth="1"/>
    <col min="9" max="9" width="10.625" bestFit="1" customWidth="1"/>
    <col min="10" max="10" width="18.875" customWidth="1"/>
    <col min="11" max="11" width="20.625" customWidth="1"/>
    <col min="12" max="12" width="2" customWidth="1"/>
    <col min="13" max="13" width="18.375" customWidth="1"/>
    <col min="14" max="14" width="17" customWidth="1"/>
    <col min="15" max="15" width="2.125" customWidth="1"/>
    <col min="16" max="16" width="14.75" bestFit="1" customWidth="1"/>
    <col min="17" max="17" width="16.375" customWidth="1"/>
    <col min="18" max="18" width="15.375" bestFit="1" customWidth="1"/>
    <col min="19" max="19" width="12.75" customWidth="1"/>
    <col min="20" max="20" width="13.25" bestFit="1" customWidth="1"/>
    <col min="21" max="21" width="7.125" bestFit="1" customWidth="1"/>
    <col min="22" max="22" width="15.25" customWidth="1"/>
    <col min="23" max="23" width="17.75" customWidth="1"/>
    <col min="24" max="24" width="16.75" customWidth="1"/>
    <col min="25" max="25" width="14.25" customWidth="1"/>
    <col min="26" max="26" width="18.25" customWidth="1"/>
  </cols>
  <sheetData>
    <row r="1" spans="1:26">
      <c r="B1"/>
    </row>
    <row r="2" spans="1:26">
      <c r="A2" s="10" t="s">
        <v>27</v>
      </c>
      <c r="B2" s="17">
        <v>3</v>
      </c>
      <c r="C2" s="16">
        <f>LEN(B2)</f>
        <v>1</v>
      </c>
    </row>
    <row r="3" spans="1:26">
      <c r="B3"/>
    </row>
    <row r="4" spans="1:26">
      <c r="A4" s="10" t="s">
        <v>0</v>
      </c>
      <c r="B4" s="10" t="s">
        <v>23</v>
      </c>
      <c r="C4" s="10" t="s">
        <v>24</v>
      </c>
      <c r="D4" s="10" t="s">
        <v>6</v>
      </c>
      <c r="E4" s="10" t="s">
        <v>7</v>
      </c>
      <c r="F4" s="10" t="s">
        <v>8</v>
      </c>
      <c r="G4" s="10" t="s">
        <v>9</v>
      </c>
      <c r="H4" s="10" t="s">
        <v>10</v>
      </c>
      <c r="I4" s="10" t="s">
        <v>12</v>
      </c>
      <c r="J4" s="10" t="s">
        <v>13</v>
      </c>
      <c r="K4" s="10" t="s">
        <v>25</v>
      </c>
      <c r="M4" s="10" t="s">
        <v>7</v>
      </c>
      <c r="N4" s="10" t="s">
        <v>23</v>
      </c>
      <c r="P4" s="10" t="s">
        <v>0</v>
      </c>
      <c r="Q4" s="10" t="s">
        <v>23</v>
      </c>
      <c r="R4" s="10" t="s">
        <v>24</v>
      </c>
      <c r="S4" s="10" t="s">
        <v>6</v>
      </c>
      <c r="T4" s="10" t="s">
        <v>7</v>
      </c>
      <c r="U4" s="10" t="s">
        <v>8</v>
      </c>
      <c r="V4" s="10" t="s">
        <v>9</v>
      </c>
      <c r="W4" s="10" t="s">
        <v>10</v>
      </c>
      <c r="X4" s="10" t="s">
        <v>12</v>
      </c>
      <c r="Y4" s="10" t="s">
        <v>13</v>
      </c>
      <c r="Z4" s="10" t="s">
        <v>25</v>
      </c>
    </row>
    <row r="5" spans="1:26">
      <c r="A5" t="s">
        <v>67</v>
      </c>
      <c r="B5" s="28">
        <v>45455</v>
      </c>
      <c r="C5" t="s">
        <v>64</v>
      </c>
      <c r="D5" t="s">
        <v>51</v>
      </c>
      <c r="E5" t="s">
        <v>52</v>
      </c>
      <c r="F5" t="s">
        <v>53</v>
      </c>
      <c r="G5">
        <v>1</v>
      </c>
      <c r="H5">
        <v>15000</v>
      </c>
      <c r="I5">
        <v>0.05</v>
      </c>
      <c r="J5">
        <v>750</v>
      </c>
      <c r="K5">
        <v>15000</v>
      </c>
      <c r="N5" s="28">
        <v>45455</v>
      </c>
      <c r="P5" t="s">
        <v>67</v>
      </c>
      <c r="Q5" s="28">
        <v>45455</v>
      </c>
      <c r="R5" t="s">
        <v>64</v>
      </c>
      <c r="S5" t="s">
        <v>51</v>
      </c>
      <c r="T5" t="s">
        <v>52</v>
      </c>
      <c r="U5" t="s">
        <v>53</v>
      </c>
      <c r="V5">
        <v>1</v>
      </c>
      <c r="W5">
        <v>15000</v>
      </c>
      <c r="X5">
        <v>0.05</v>
      </c>
      <c r="Y5">
        <v>750</v>
      </c>
      <c r="Z5">
        <v>15000</v>
      </c>
    </row>
    <row r="6" spans="1:26">
      <c r="A6" t="s">
        <v>67</v>
      </c>
      <c r="B6" s="28">
        <v>45455</v>
      </c>
      <c r="C6" t="s">
        <v>64</v>
      </c>
      <c r="D6" t="s">
        <v>54</v>
      </c>
      <c r="E6" t="s">
        <v>55</v>
      </c>
      <c r="F6" t="s">
        <v>56</v>
      </c>
      <c r="G6">
        <v>1</v>
      </c>
      <c r="H6">
        <v>160000</v>
      </c>
      <c r="I6">
        <v>0.04</v>
      </c>
      <c r="J6">
        <v>6400</v>
      </c>
      <c r="K6">
        <v>160000</v>
      </c>
      <c r="P6" t="s">
        <v>67</v>
      </c>
      <c r="Q6" s="28">
        <v>45455</v>
      </c>
      <c r="R6" t="s">
        <v>64</v>
      </c>
      <c r="S6" t="s">
        <v>54</v>
      </c>
      <c r="T6" t="s">
        <v>55</v>
      </c>
      <c r="U6" t="s">
        <v>56</v>
      </c>
      <c r="V6">
        <v>1</v>
      </c>
      <c r="W6">
        <v>160000</v>
      </c>
      <c r="X6">
        <v>0.04</v>
      </c>
      <c r="Y6">
        <v>6400</v>
      </c>
      <c r="Z6">
        <v>160000</v>
      </c>
    </row>
    <row r="7" spans="1:26">
      <c r="A7" t="s">
        <v>67</v>
      </c>
      <c r="B7" s="28">
        <v>45455</v>
      </c>
      <c r="C7" t="s">
        <v>64</v>
      </c>
      <c r="D7" t="s">
        <v>57</v>
      </c>
      <c r="E7" t="s">
        <v>58</v>
      </c>
      <c r="F7" t="s">
        <v>53</v>
      </c>
      <c r="G7">
        <v>1</v>
      </c>
      <c r="H7">
        <v>7000</v>
      </c>
      <c r="I7">
        <v>0.02</v>
      </c>
      <c r="J7">
        <v>140</v>
      </c>
      <c r="K7">
        <v>7000</v>
      </c>
      <c r="P7" t="s">
        <v>67</v>
      </c>
      <c r="Q7" s="28">
        <v>45455</v>
      </c>
      <c r="R7" t="s">
        <v>64</v>
      </c>
      <c r="S7" t="s">
        <v>57</v>
      </c>
      <c r="T7" t="s">
        <v>58</v>
      </c>
      <c r="U7" t="s">
        <v>53</v>
      </c>
      <c r="V7">
        <v>1</v>
      </c>
      <c r="W7">
        <v>7000</v>
      </c>
      <c r="X7">
        <v>0.02</v>
      </c>
      <c r="Y7">
        <v>140</v>
      </c>
      <c r="Z7">
        <v>7000</v>
      </c>
    </row>
    <row r="8" spans="1:26">
      <c r="A8" t="s">
        <v>74</v>
      </c>
      <c r="B8" s="28">
        <v>45455</v>
      </c>
      <c r="C8" t="s">
        <v>64</v>
      </c>
      <c r="D8" t="s">
        <v>54</v>
      </c>
      <c r="E8" t="s">
        <v>55</v>
      </c>
      <c r="F8" t="s">
        <v>56</v>
      </c>
      <c r="G8">
        <v>1</v>
      </c>
      <c r="H8">
        <v>160000</v>
      </c>
      <c r="I8">
        <v>0.04</v>
      </c>
      <c r="J8">
        <v>6400</v>
      </c>
      <c r="K8">
        <v>160000</v>
      </c>
      <c r="P8" t="s">
        <v>74</v>
      </c>
      <c r="Q8" s="28">
        <v>45455</v>
      </c>
      <c r="R8" t="s">
        <v>64</v>
      </c>
      <c r="S8" t="s">
        <v>54</v>
      </c>
      <c r="T8" t="s">
        <v>55</v>
      </c>
      <c r="U8" t="s">
        <v>56</v>
      </c>
      <c r="V8">
        <v>1</v>
      </c>
      <c r="W8">
        <v>160000</v>
      </c>
      <c r="X8">
        <v>0.04</v>
      </c>
      <c r="Y8">
        <v>6400</v>
      </c>
      <c r="Z8">
        <v>160000</v>
      </c>
    </row>
    <row r="9" spans="1:26">
      <c r="A9" t="s">
        <v>74</v>
      </c>
      <c r="B9" s="28">
        <v>45455</v>
      </c>
      <c r="C9" t="s">
        <v>64</v>
      </c>
      <c r="D9" t="s">
        <v>59</v>
      </c>
      <c r="E9" t="s">
        <v>60</v>
      </c>
      <c r="F9" t="s">
        <v>56</v>
      </c>
      <c r="G9">
        <v>1</v>
      </c>
      <c r="H9">
        <v>15000</v>
      </c>
      <c r="I9">
        <v>0.1</v>
      </c>
      <c r="J9">
        <v>1500</v>
      </c>
      <c r="K9">
        <v>15000</v>
      </c>
      <c r="P9" t="s">
        <v>74</v>
      </c>
      <c r="Q9" s="28">
        <v>45455</v>
      </c>
      <c r="R9" t="s">
        <v>64</v>
      </c>
      <c r="S9" t="s">
        <v>59</v>
      </c>
      <c r="T9" t="s">
        <v>60</v>
      </c>
      <c r="U9" t="s">
        <v>56</v>
      </c>
      <c r="V9">
        <v>1</v>
      </c>
      <c r="W9">
        <v>15000</v>
      </c>
      <c r="X9">
        <v>0.1</v>
      </c>
      <c r="Y9">
        <v>1500</v>
      </c>
      <c r="Z9">
        <v>15000</v>
      </c>
    </row>
    <row r="10" spans="1:26">
      <c r="A10" t="s">
        <v>74</v>
      </c>
      <c r="B10" s="28">
        <v>45455</v>
      </c>
      <c r="C10" t="s">
        <v>64</v>
      </c>
      <c r="D10" t="s">
        <v>61</v>
      </c>
      <c r="E10" t="s">
        <v>62</v>
      </c>
      <c r="F10" t="s">
        <v>56</v>
      </c>
      <c r="G10">
        <v>1</v>
      </c>
      <c r="H10">
        <v>80000</v>
      </c>
      <c r="I10">
        <v>0.06</v>
      </c>
      <c r="J10">
        <v>4800</v>
      </c>
      <c r="K10">
        <v>80000</v>
      </c>
      <c r="P10" t="s">
        <v>74</v>
      </c>
      <c r="Q10" s="28">
        <v>45455</v>
      </c>
      <c r="R10" t="s">
        <v>64</v>
      </c>
      <c r="S10" t="s">
        <v>61</v>
      </c>
      <c r="T10" t="s">
        <v>62</v>
      </c>
      <c r="U10" t="s">
        <v>56</v>
      </c>
      <c r="V10">
        <v>1</v>
      </c>
      <c r="W10">
        <v>80000</v>
      </c>
      <c r="X10">
        <v>0.06</v>
      </c>
      <c r="Y10">
        <v>4800</v>
      </c>
      <c r="Z10">
        <v>80000</v>
      </c>
    </row>
    <row r="11" spans="1:26">
      <c r="A11" t="s">
        <v>75</v>
      </c>
      <c r="B11" s="28">
        <v>45454</v>
      </c>
      <c r="C11" t="s">
        <v>64</v>
      </c>
      <c r="D11" t="s">
        <v>57</v>
      </c>
      <c r="E11" t="s">
        <v>58</v>
      </c>
      <c r="F11" t="s">
        <v>53</v>
      </c>
      <c r="G11">
        <v>1</v>
      </c>
      <c r="H11">
        <v>7000</v>
      </c>
      <c r="I11">
        <v>0.02</v>
      </c>
      <c r="J11">
        <v>140</v>
      </c>
      <c r="K11">
        <v>7000</v>
      </c>
      <c r="Q11" s="28"/>
    </row>
    <row r="12" spans="1:26">
      <c r="J12" t="s">
        <v>26</v>
      </c>
      <c r="K12" t="s">
        <v>26</v>
      </c>
    </row>
    <row r="13" spans="1:26">
      <c r="J13" t="s">
        <v>26</v>
      </c>
      <c r="K13" t="s">
        <v>26</v>
      </c>
    </row>
    <row r="14" spans="1:26">
      <c r="J14" t="s">
        <v>26</v>
      </c>
      <c r="K14" t="s">
        <v>26</v>
      </c>
    </row>
    <row r="15" spans="1:26">
      <c r="J15" t="s">
        <v>26</v>
      </c>
      <c r="K15" t="s">
        <v>26</v>
      </c>
    </row>
    <row r="16" spans="1:26">
      <c r="J16" t="s">
        <v>26</v>
      </c>
      <c r="K16" t="s">
        <v>26</v>
      </c>
    </row>
    <row r="17" spans="10:11">
      <c r="J17" t="s">
        <v>26</v>
      </c>
      <c r="K17" t="s">
        <v>26</v>
      </c>
    </row>
    <row r="18" spans="10:11">
      <c r="J18" t="s">
        <v>26</v>
      </c>
      <c r="K18" t="s">
        <v>26</v>
      </c>
    </row>
    <row r="19" spans="10:11">
      <c r="J19" t="s">
        <v>26</v>
      </c>
      <c r="K19" t="s">
        <v>26</v>
      </c>
    </row>
    <row r="20" spans="10:11">
      <c r="J20" t="s">
        <v>26</v>
      </c>
      <c r="K20" t="s">
        <v>26</v>
      </c>
    </row>
    <row r="21" spans="10:11">
      <c r="J21" t="s">
        <v>26</v>
      </c>
      <c r="K21" t="s">
        <v>26</v>
      </c>
    </row>
    <row r="22" spans="10:11">
      <c r="J22" t="s">
        <v>26</v>
      </c>
      <c r="K22" t="s">
        <v>26</v>
      </c>
    </row>
    <row r="23" spans="10:11">
      <c r="J23" t="s">
        <v>26</v>
      </c>
      <c r="K23" t="s">
        <v>26</v>
      </c>
    </row>
    <row r="24" spans="10:11">
      <c r="J24" t="s">
        <v>26</v>
      </c>
      <c r="K24" t="s">
        <v>26</v>
      </c>
    </row>
    <row r="25" spans="10:11">
      <c r="J25" t="s">
        <v>26</v>
      </c>
      <c r="K25" t="s">
        <v>26</v>
      </c>
    </row>
    <row r="26" spans="10:11">
      <c r="J26" t="s">
        <v>26</v>
      </c>
      <c r="K26" t="s">
        <v>26</v>
      </c>
    </row>
    <row r="27" spans="10:11">
      <c r="J27" t="s">
        <v>26</v>
      </c>
      <c r="K27" t="s">
        <v>26</v>
      </c>
    </row>
    <row r="28" spans="10:11">
      <c r="J28" t="s">
        <v>26</v>
      </c>
      <c r="K28" t="s">
        <v>26</v>
      </c>
    </row>
    <row r="29" spans="10:11">
      <c r="J29" t="s">
        <v>26</v>
      </c>
      <c r="K29" t="s">
        <v>26</v>
      </c>
    </row>
    <row r="30" spans="10:11">
      <c r="J30" t="s">
        <v>26</v>
      </c>
      <c r="K30" t="s">
        <v>26</v>
      </c>
    </row>
    <row r="31" spans="10:11">
      <c r="J31" t="s">
        <v>26</v>
      </c>
      <c r="K31" t="s">
        <v>26</v>
      </c>
    </row>
    <row r="32" spans="10:11">
      <c r="J32" t="s">
        <v>26</v>
      </c>
      <c r="K32" t="s">
        <v>26</v>
      </c>
    </row>
    <row r="33" spans="10:11">
      <c r="J33" t="s">
        <v>26</v>
      </c>
      <c r="K33" t="s">
        <v>26</v>
      </c>
    </row>
    <row r="34" spans="10:11">
      <c r="J34" t="s">
        <v>26</v>
      </c>
      <c r="K34" t="s">
        <v>26</v>
      </c>
    </row>
    <row r="35" spans="10:11">
      <c r="J35" t="s">
        <v>26</v>
      </c>
      <c r="K35" t="s">
        <v>26</v>
      </c>
    </row>
    <row r="36" spans="10:11">
      <c r="J36" t="s">
        <v>26</v>
      </c>
      <c r="K36" t="s">
        <v>26</v>
      </c>
    </row>
    <row r="37" spans="10:11">
      <c r="J37" t="s">
        <v>26</v>
      </c>
      <c r="K37" t="s">
        <v>26</v>
      </c>
    </row>
    <row r="38" spans="10:11">
      <c r="J38" t="s">
        <v>26</v>
      </c>
      <c r="K38" t="s">
        <v>26</v>
      </c>
    </row>
    <row r="39" spans="10:11">
      <c r="J39" t="s">
        <v>26</v>
      </c>
      <c r="K39" t="s">
        <v>26</v>
      </c>
    </row>
    <row r="40" spans="10:11">
      <c r="J40" t="s">
        <v>26</v>
      </c>
      <c r="K40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2D57F-50A8-4293-96D5-B5369456A325}">
  <sheetPr codeName="Sheet2"/>
  <dimension ref="A4:Q9"/>
  <sheetViews>
    <sheetView workbookViewId="0">
      <selection activeCell="A7" sqref="A7:E7"/>
    </sheetView>
  </sheetViews>
  <sheetFormatPr defaultRowHeight="14.25"/>
  <cols>
    <col min="1" max="1" width="12" bestFit="1" customWidth="1"/>
    <col min="2" max="2" width="18.25" customWidth="1"/>
    <col min="3" max="3" width="7" bestFit="1" customWidth="1"/>
    <col min="4" max="4" width="15.875" customWidth="1"/>
    <col min="5" max="5" width="15.375" customWidth="1"/>
    <col min="6" max="6" width="8.375" customWidth="1"/>
    <col min="7" max="7" width="10.625" style="13" customWidth="1"/>
    <col min="8" max="8" width="3.25" customWidth="1"/>
    <col min="9" max="9" width="18.375" customWidth="1"/>
    <col min="10" max="10" width="2.375" customWidth="1"/>
    <col min="11" max="11" width="12" bestFit="1" customWidth="1"/>
    <col min="12" max="12" width="16.625" customWidth="1"/>
    <col min="13" max="13" width="7" bestFit="1" customWidth="1"/>
    <col min="14" max="15" width="13.625" customWidth="1"/>
    <col min="16" max="16" width="5.75" bestFit="1" customWidth="1"/>
    <col min="17" max="17" width="7" bestFit="1" customWidth="1"/>
  </cols>
  <sheetData>
    <row r="4" spans="1:17" s="11" customFormat="1">
      <c r="A4" s="10" t="s">
        <v>14</v>
      </c>
      <c r="B4" s="10" t="s">
        <v>7</v>
      </c>
      <c r="C4" s="10" t="s">
        <v>8</v>
      </c>
      <c r="D4" s="10" t="s">
        <v>15</v>
      </c>
      <c r="E4" s="10" t="s">
        <v>18</v>
      </c>
      <c r="F4" s="10" t="s">
        <v>16</v>
      </c>
      <c r="G4" s="12" t="s">
        <v>17</v>
      </c>
      <c r="I4" s="10" t="s">
        <v>7</v>
      </c>
      <c r="K4" s="10" t="s">
        <v>14</v>
      </c>
      <c r="L4" s="10" t="s">
        <v>7</v>
      </c>
      <c r="M4" s="10" t="s">
        <v>8</v>
      </c>
      <c r="N4" s="10" t="s">
        <v>15</v>
      </c>
      <c r="O4" s="10" t="s">
        <v>18</v>
      </c>
      <c r="P4" s="10" t="s">
        <v>16</v>
      </c>
      <c r="Q4" s="12" t="s">
        <v>17</v>
      </c>
    </row>
    <row r="5" spans="1:17">
      <c r="A5" t="s">
        <v>51</v>
      </c>
      <c r="B5" t="s">
        <v>52</v>
      </c>
      <c r="C5" t="s">
        <v>53</v>
      </c>
      <c r="D5">
        <v>13000</v>
      </c>
      <c r="E5">
        <v>15000</v>
      </c>
      <c r="F5">
        <v>148</v>
      </c>
      <c r="G5" s="13">
        <v>0.05</v>
      </c>
      <c r="Q5" s="13"/>
    </row>
    <row r="6" spans="1:17">
      <c r="A6" t="s">
        <v>54</v>
      </c>
      <c r="B6" t="s">
        <v>55</v>
      </c>
      <c r="C6" t="s">
        <v>56</v>
      </c>
      <c r="D6">
        <v>145000</v>
      </c>
      <c r="E6">
        <v>160000</v>
      </c>
      <c r="F6">
        <v>27</v>
      </c>
      <c r="G6" s="13">
        <v>0.04</v>
      </c>
      <c r="Q6" s="13"/>
    </row>
    <row r="7" spans="1:17">
      <c r="A7" t="s">
        <v>57</v>
      </c>
      <c r="B7" t="s">
        <v>58</v>
      </c>
      <c r="C7" t="s">
        <v>53</v>
      </c>
      <c r="D7">
        <v>5000</v>
      </c>
      <c r="E7">
        <v>7000</v>
      </c>
      <c r="F7">
        <v>61</v>
      </c>
      <c r="G7" s="13">
        <v>0.02</v>
      </c>
      <c r="Q7" s="13"/>
    </row>
    <row r="8" spans="1:17">
      <c r="A8" t="s">
        <v>59</v>
      </c>
      <c r="B8" t="s">
        <v>60</v>
      </c>
      <c r="C8" t="s">
        <v>56</v>
      </c>
      <c r="D8">
        <v>10000</v>
      </c>
      <c r="E8">
        <v>15000</v>
      </c>
      <c r="F8">
        <v>58</v>
      </c>
      <c r="G8" s="13">
        <v>0.1</v>
      </c>
    </row>
    <row r="9" spans="1:17">
      <c r="A9" t="s">
        <v>61</v>
      </c>
      <c r="B9" t="s">
        <v>62</v>
      </c>
      <c r="C9" t="s">
        <v>56</v>
      </c>
      <c r="D9">
        <v>60000</v>
      </c>
      <c r="E9">
        <v>80000</v>
      </c>
      <c r="F9">
        <v>79</v>
      </c>
      <c r="G9" s="13">
        <v>0.06</v>
      </c>
    </row>
  </sheetData>
  <sortState xmlns:xlrd2="http://schemas.microsoft.com/office/spreadsheetml/2017/richdata2" ref="A5:G7">
    <sortCondition ref="B4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D002C-4CC8-40D7-B093-90EAF8333D94}">
  <sheetPr codeName="Sheet5"/>
  <dimension ref="A4:K5"/>
  <sheetViews>
    <sheetView workbookViewId="0">
      <selection activeCell="A5" sqref="A5:D5"/>
    </sheetView>
  </sheetViews>
  <sheetFormatPr defaultRowHeight="14.25"/>
  <cols>
    <col min="1" max="1" width="13.25" bestFit="1" customWidth="1"/>
    <col min="2" max="2" width="21.375" customWidth="1"/>
    <col min="3" max="3" width="21" customWidth="1"/>
    <col min="4" max="4" width="22.25" style="47" customWidth="1"/>
    <col min="5" max="5" width="1.25" customWidth="1"/>
    <col min="6" max="6" width="19.375" customWidth="1"/>
    <col min="7" max="7" width="1.375" customWidth="1"/>
    <col min="8" max="8" width="16.75" customWidth="1"/>
    <col min="9" max="9" width="19.625" customWidth="1"/>
    <col min="10" max="10" width="18.625" customWidth="1"/>
    <col min="11" max="11" width="24.75" customWidth="1"/>
  </cols>
  <sheetData>
    <row r="4" spans="1:11">
      <c r="A4" s="10" t="s">
        <v>28</v>
      </c>
      <c r="B4" s="10" t="s">
        <v>29</v>
      </c>
      <c r="C4" s="10" t="s">
        <v>2</v>
      </c>
      <c r="D4" s="48" t="s">
        <v>30</v>
      </c>
      <c r="F4" s="10" t="s">
        <v>29</v>
      </c>
      <c r="H4" s="10" t="s">
        <v>28</v>
      </c>
      <c r="I4" s="10" t="s">
        <v>29</v>
      </c>
      <c r="J4" s="10" t="s">
        <v>2</v>
      </c>
      <c r="K4" s="10" t="s">
        <v>30</v>
      </c>
    </row>
    <row r="5" spans="1:11">
      <c r="A5" t="s">
        <v>69</v>
      </c>
      <c r="B5" t="s">
        <v>70</v>
      </c>
      <c r="C5" t="s">
        <v>71</v>
      </c>
      <c r="D5" s="47" t="s">
        <v>72</v>
      </c>
    </row>
  </sheetData>
  <sortState xmlns:xlrd2="http://schemas.microsoft.com/office/spreadsheetml/2017/richdata2" ref="A5:D9">
    <sortCondition ref="B4"/>
  </sortState>
  <phoneticPr fontId="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16437-4977-4D02-921A-369E79DDE93D}">
  <sheetPr codeName="Sheet3"/>
  <dimension ref="A4:M8"/>
  <sheetViews>
    <sheetView topLeftCell="C1" workbookViewId="0">
      <selection activeCell="A5" sqref="A5:E5"/>
    </sheetView>
  </sheetViews>
  <sheetFormatPr defaultRowHeight="14.25"/>
  <cols>
    <col min="1" max="1" width="11.625" bestFit="1" customWidth="1"/>
    <col min="2" max="2" width="30.125" customWidth="1"/>
    <col min="3" max="3" width="38.75" customWidth="1"/>
    <col min="4" max="4" width="25.25" customWidth="1"/>
    <col min="5" max="5" width="29.375" customWidth="1"/>
    <col min="6" max="6" width="1.625" customWidth="1"/>
    <col min="7" max="7" width="22.25" customWidth="1"/>
    <col min="8" max="8" width="1.25" customWidth="1"/>
    <col min="9" max="9" width="16.125" customWidth="1"/>
    <col min="10" max="10" width="16.875" customWidth="1"/>
    <col min="11" max="11" width="15.625" customWidth="1"/>
    <col min="12" max="12" width="12.75" customWidth="1"/>
    <col min="13" max="13" width="14.75" customWidth="1"/>
  </cols>
  <sheetData>
    <row r="4" spans="1:13">
      <c r="A4" s="10" t="s">
        <v>19</v>
      </c>
      <c r="B4" s="10" t="s">
        <v>20</v>
      </c>
      <c r="C4" s="10" t="s">
        <v>21</v>
      </c>
      <c r="D4" s="10" t="s">
        <v>22</v>
      </c>
      <c r="E4" s="10" t="s">
        <v>4</v>
      </c>
      <c r="G4" s="10" t="s">
        <v>20</v>
      </c>
      <c r="I4" s="10" t="s">
        <v>19</v>
      </c>
      <c r="J4" s="10" t="s">
        <v>20</v>
      </c>
      <c r="K4" s="10" t="s">
        <v>21</v>
      </c>
      <c r="L4" s="10" t="s">
        <v>22</v>
      </c>
      <c r="M4" s="10" t="s">
        <v>4</v>
      </c>
    </row>
    <row r="5" spans="1:13">
      <c r="A5" t="s">
        <v>63</v>
      </c>
      <c r="B5" t="s">
        <v>64</v>
      </c>
      <c r="C5" t="s">
        <v>65</v>
      </c>
      <c r="D5" s="47" t="s">
        <v>68</v>
      </c>
      <c r="E5" t="s">
        <v>66</v>
      </c>
    </row>
    <row r="8" spans="1:13">
      <c r="E8" s="15"/>
      <c r="M8" s="15"/>
    </row>
  </sheetData>
  <sortState xmlns:xlrd2="http://schemas.microsoft.com/office/spreadsheetml/2017/richdata2" ref="A5:E13">
    <sortCondition ref="B4"/>
  </sortState>
  <phoneticPr fontId="5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69F74-2A56-4555-AFF8-1EC086EA91AF}">
  <sheetPr codeName="Sheet6"/>
  <dimension ref="A1:D2"/>
  <sheetViews>
    <sheetView workbookViewId="0">
      <selection activeCell="C10" sqref="C10"/>
    </sheetView>
  </sheetViews>
  <sheetFormatPr defaultRowHeight="14.25"/>
  <cols>
    <col min="1" max="1" width="20.375" customWidth="1"/>
    <col min="2" max="2" width="27" customWidth="1"/>
    <col min="3" max="3" width="25.625" style="47" customWidth="1"/>
    <col min="4" max="4" width="28.125" customWidth="1"/>
  </cols>
  <sheetData>
    <row r="1" spans="1:4">
      <c r="A1" s="10" t="s">
        <v>29</v>
      </c>
      <c r="B1" s="10" t="s">
        <v>2</v>
      </c>
      <c r="C1" s="48" t="s">
        <v>30</v>
      </c>
      <c r="D1" s="10" t="s">
        <v>31</v>
      </c>
    </row>
    <row r="2" spans="1:4">
      <c r="A2" t="s">
        <v>48</v>
      </c>
      <c r="B2" t="s">
        <v>49</v>
      </c>
      <c r="C2" s="47" t="s">
        <v>73</v>
      </c>
      <c r="D2" t="s">
        <v>50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D5FDD-F201-4184-B475-43D0BD86F8B0}">
  <sheetPr codeName="Sheet7"/>
  <dimension ref="A1:D35"/>
  <sheetViews>
    <sheetView topLeftCell="A15" zoomScale="200" zoomScaleNormal="200" workbookViewId="0">
      <selection activeCell="E6" sqref="E6"/>
    </sheetView>
  </sheetViews>
  <sheetFormatPr defaultRowHeight="14.25"/>
  <cols>
    <col min="1" max="1" width="8.125" bestFit="1" customWidth="1"/>
    <col min="2" max="2" width="2.125" customWidth="1"/>
    <col min="3" max="3" width="6.875" customWidth="1"/>
    <col min="4" max="4" width="6.375" customWidth="1"/>
  </cols>
  <sheetData>
    <row r="1" spans="1:4" ht="20.25" customHeight="1">
      <c r="A1" s="57" t="str">
        <f>DataToko!$A$2</f>
        <v>Toko Shindika</v>
      </c>
      <c r="B1" s="57"/>
      <c r="C1" s="57"/>
      <c r="D1" s="57"/>
    </row>
    <row r="2" spans="1:4" ht="9" customHeight="1">
      <c r="A2" s="58">
        <f ca="1">TODAY()</f>
        <v>45533</v>
      </c>
      <c r="B2" s="58"/>
      <c r="C2" s="58"/>
      <c r="D2" s="58"/>
    </row>
    <row r="3" spans="1:4" ht="0.75" customHeight="1"/>
    <row r="4" spans="1:4" ht="9" customHeight="1">
      <c r="A4" s="18" t="s">
        <v>0</v>
      </c>
      <c r="B4" s="19" t="s">
        <v>5</v>
      </c>
      <c r="C4" s="59">
        <f>Transaksi!$H$9</f>
        <v>0</v>
      </c>
      <c r="D4" s="59"/>
    </row>
    <row r="5" spans="1:4" ht="9" customHeight="1">
      <c r="A5" s="18" t="s">
        <v>24</v>
      </c>
      <c r="B5" s="19" t="s">
        <v>5</v>
      </c>
      <c r="C5" s="59">
        <f>Transaksi!$H$10</f>
        <v>0</v>
      </c>
      <c r="D5" s="59"/>
    </row>
    <row r="6" spans="1:4" ht="9" customHeight="1">
      <c r="A6" s="18" t="s">
        <v>2</v>
      </c>
      <c r="B6" s="62" t="s">
        <v>5</v>
      </c>
      <c r="C6" s="60" t="str">
        <f ca="1">Transaksi!$H$11</f>
        <v/>
      </c>
      <c r="D6" s="60"/>
    </row>
    <row r="7" spans="1:4" ht="9" customHeight="1">
      <c r="A7" s="18"/>
      <c r="B7" s="62"/>
      <c r="C7" s="60"/>
      <c r="D7" s="60"/>
    </row>
    <row r="8" spans="1:4" ht="9" customHeight="1">
      <c r="A8" s="18" t="s">
        <v>30</v>
      </c>
      <c r="B8" s="19" t="s">
        <v>5</v>
      </c>
      <c r="C8" s="59" t="str">
        <f ca="1">Transaksi!$H$14</f>
        <v/>
      </c>
      <c r="D8" s="59"/>
    </row>
    <row r="9" spans="1:4" ht="9" customHeight="1">
      <c r="A9" s="20" t="s">
        <v>31</v>
      </c>
      <c r="B9" s="21" t="s">
        <v>5</v>
      </c>
      <c r="C9" s="61" t="str">
        <f ca="1">Transaksi!$H$15</f>
        <v/>
      </c>
      <c r="D9" s="61"/>
    </row>
    <row r="10" spans="1:4" ht="9" customHeight="1">
      <c r="A10" s="18"/>
      <c r="B10" s="18"/>
      <c r="C10" s="18"/>
      <c r="D10" s="18"/>
    </row>
    <row r="11" spans="1:4" ht="9" customHeight="1">
      <c r="A11" s="24" t="s">
        <v>7</v>
      </c>
      <c r="B11" s="25" t="s">
        <v>32</v>
      </c>
      <c r="C11" s="24" t="s">
        <v>33</v>
      </c>
      <c r="D11" s="24" t="s">
        <v>34</v>
      </c>
    </row>
    <row r="12" spans="1:4" ht="9" customHeight="1">
      <c r="A12" s="18" t="str">
        <f>IF(Transaksi!K10="","",Transaksi!K10)</f>
        <v/>
      </c>
      <c r="B12" s="19" t="str">
        <f>IF(Transaksi!M10="","",Transaksi!M10)</f>
        <v/>
      </c>
      <c r="C12" s="26" t="str">
        <f>IF(Transaksi!N10="","",Transaksi!N10)</f>
        <v/>
      </c>
      <c r="D12" s="26" t="str">
        <f>IF(Transaksi!Q10="","",Transaksi!Q10)</f>
        <v/>
      </c>
    </row>
    <row r="13" spans="1:4" ht="9" customHeight="1">
      <c r="A13" s="18" t="str">
        <f>IF(Transaksi!K11="","",Transaksi!K11)</f>
        <v/>
      </c>
      <c r="B13" s="19" t="str">
        <f>IF(Transaksi!M11="","",Transaksi!M11)</f>
        <v/>
      </c>
      <c r="C13" s="26" t="str">
        <f>IF(Transaksi!N11="","",Transaksi!N11)</f>
        <v/>
      </c>
      <c r="D13" s="26" t="str">
        <f>IF(Transaksi!Q11="","",Transaksi!Q11)</f>
        <v/>
      </c>
    </row>
    <row r="14" spans="1:4" ht="9" customHeight="1">
      <c r="A14" s="18" t="str">
        <f>IF(Transaksi!K12="","",Transaksi!K12)</f>
        <v/>
      </c>
      <c r="B14" s="19" t="str">
        <f>IF(Transaksi!M12="","",Transaksi!M12)</f>
        <v/>
      </c>
      <c r="C14" s="26" t="str">
        <f>IF(Transaksi!N12="","",Transaksi!N12)</f>
        <v/>
      </c>
      <c r="D14" s="26" t="str">
        <f>IF(Transaksi!Q12="","",Transaksi!Q12)</f>
        <v/>
      </c>
    </row>
    <row r="15" spans="1:4" ht="9" customHeight="1">
      <c r="A15" s="18" t="str">
        <f>IF(Transaksi!K13="","",Transaksi!K13)</f>
        <v/>
      </c>
      <c r="B15" s="18" t="str">
        <f>IF(Transaksi!M13="","",Transaksi!M13)</f>
        <v/>
      </c>
      <c r="C15" s="26" t="str">
        <f>IF(Transaksi!N13="","",Transaksi!N13)</f>
        <v/>
      </c>
      <c r="D15" s="26" t="str">
        <f>IF(Transaksi!Q13="","",Transaksi!Q13)</f>
        <v/>
      </c>
    </row>
    <row r="16" spans="1:4" ht="9" customHeight="1">
      <c r="A16" s="18" t="str">
        <f>IF(Transaksi!K14="","",Transaksi!K14)</f>
        <v/>
      </c>
      <c r="B16" s="18" t="str">
        <f>IF(Transaksi!M14="","",Transaksi!M14)</f>
        <v/>
      </c>
      <c r="C16" s="26" t="str">
        <f>IF(Transaksi!N14="","",Transaksi!N14)</f>
        <v/>
      </c>
      <c r="D16" s="26" t="str">
        <f>IF(Transaksi!Q14="","",Transaksi!Q14)</f>
        <v/>
      </c>
    </row>
    <row r="17" spans="1:4" ht="9" customHeight="1">
      <c r="A17" s="18" t="str">
        <f>IF(Transaksi!K15="","",Transaksi!K15)</f>
        <v/>
      </c>
      <c r="B17" s="18" t="str">
        <f>IF(Transaksi!M15="","",Transaksi!M15)</f>
        <v/>
      </c>
      <c r="C17" s="26" t="str">
        <f>IF(Transaksi!N15="","",Transaksi!N15)</f>
        <v/>
      </c>
      <c r="D17" s="26" t="str">
        <f>IF(Transaksi!Q15="","",Transaksi!Q15)</f>
        <v/>
      </c>
    </row>
    <row r="18" spans="1:4" ht="9" customHeight="1">
      <c r="A18" s="18" t="str">
        <f>IF(Transaksi!K16="","",Transaksi!K16)</f>
        <v/>
      </c>
      <c r="B18" s="18" t="str">
        <f>IF(Transaksi!M16="","",Transaksi!M16)</f>
        <v/>
      </c>
      <c r="C18" s="26" t="str">
        <f>IF(Transaksi!N16="","",Transaksi!N16)</f>
        <v/>
      </c>
      <c r="D18" s="26" t="str">
        <f>IF(Transaksi!Q16="","",Transaksi!Q16)</f>
        <v/>
      </c>
    </row>
    <row r="19" spans="1:4" ht="9" customHeight="1">
      <c r="A19" s="18" t="str">
        <f>IF(Transaksi!K17="","",Transaksi!K17)</f>
        <v/>
      </c>
      <c r="B19" s="18" t="str">
        <f>IF(Transaksi!M17="","",Transaksi!M17)</f>
        <v/>
      </c>
      <c r="C19" s="26" t="str">
        <f>IF(Transaksi!N17="","",Transaksi!N17)</f>
        <v/>
      </c>
      <c r="D19" s="26" t="str">
        <f>IF(Transaksi!Q17="","",Transaksi!Q17)</f>
        <v/>
      </c>
    </row>
    <row r="20" spans="1:4" ht="9" customHeight="1">
      <c r="A20" s="18" t="str">
        <f>IF(Transaksi!K18="","",Transaksi!K18)</f>
        <v/>
      </c>
      <c r="B20" s="18" t="str">
        <f>IF(Transaksi!M18="","",Transaksi!M18)</f>
        <v/>
      </c>
      <c r="C20" s="26" t="str">
        <f>IF(Transaksi!N18="","",Transaksi!N18)</f>
        <v/>
      </c>
      <c r="D20" s="26" t="str">
        <f>IF(Transaksi!Q18="","",Transaksi!Q18)</f>
        <v/>
      </c>
    </row>
    <row r="21" spans="1:4" ht="9" customHeight="1">
      <c r="A21" s="18" t="str">
        <f>IF(Transaksi!K19="","",Transaksi!K19)</f>
        <v/>
      </c>
      <c r="B21" s="18" t="str">
        <f>IF(Transaksi!M19="","",Transaksi!M19)</f>
        <v/>
      </c>
      <c r="C21" s="26" t="str">
        <f>IF(Transaksi!N19="","",Transaksi!N19)</f>
        <v/>
      </c>
      <c r="D21" s="26" t="str">
        <f>IF(Transaksi!Q19="","",Transaksi!Q19)</f>
        <v/>
      </c>
    </row>
    <row r="22" spans="1:4" ht="9" customHeight="1">
      <c r="A22" s="18" t="str">
        <f>IF(Transaksi!K20="","",Transaksi!K20)</f>
        <v/>
      </c>
      <c r="B22" s="18" t="str">
        <f>IF(Transaksi!M20="","",Transaksi!M20)</f>
        <v/>
      </c>
      <c r="C22" s="26" t="str">
        <f>IF(Transaksi!N20="","",Transaksi!N20)</f>
        <v/>
      </c>
      <c r="D22" s="26" t="str">
        <f>IF(Transaksi!Q20="","",Transaksi!Q20)</f>
        <v/>
      </c>
    </row>
    <row r="23" spans="1:4" ht="9" customHeight="1">
      <c r="A23" s="18" t="str">
        <f>IF(Transaksi!K21="","",Transaksi!K21)</f>
        <v/>
      </c>
      <c r="B23" s="18" t="str">
        <f>IF(Transaksi!M21="","",Transaksi!M21)</f>
        <v/>
      </c>
      <c r="C23" s="26" t="str">
        <f>IF(Transaksi!N21="","",Transaksi!N21)</f>
        <v/>
      </c>
      <c r="D23" s="26" t="str">
        <f>IF(Transaksi!Q21="","",Transaksi!Q21)</f>
        <v/>
      </c>
    </row>
    <row r="24" spans="1:4" ht="9" customHeight="1">
      <c r="A24" s="18" t="str">
        <f>IF(Transaksi!K22="","",Transaksi!K22)</f>
        <v/>
      </c>
      <c r="B24" s="18" t="str">
        <f>IF(Transaksi!M22="","",Transaksi!M22)</f>
        <v/>
      </c>
      <c r="C24" s="26" t="str">
        <f>IF(Transaksi!N22="","",Transaksi!N22)</f>
        <v/>
      </c>
      <c r="D24" s="26" t="str">
        <f>IF(Transaksi!Q22="","",Transaksi!Q22)</f>
        <v/>
      </c>
    </row>
    <row r="25" spans="1:4" ht="9" customHeight="1">
      <c r="A25" s="18" t="str">
        <f>IF(Transaksi!K23="","",Transaksi!K23)</f>
        <v/>
      </c>
      <c r="B25" s="18" t="str">
        <f>IF(Transaksi!M23="","",Transaksi!M23)</f>
        <v/>
      </c>
      <c r="C25" s="26" t="str">
        <f>IF(Transaksi!N23="","",Transaksi!N23)</f>
        <v/>
      </c>
      <c r="D25" s="26" t="str">
        <f>IF(Transaksi!Q23="","",Transaksi!Q23)</f>
        <v/>
      </c>
    </row>
    <row r="26" spans="1:4" ht="9" customHeight="1">
      <c r="A26" s="18" t="str">
        <f>IF(Transaksi!K24="","",Transaksi!K24)</f>
        <v/>
      </c>
      <c r="B26" s="18" t="str">
        <f>IF(Transaksi!M24="","",Transaksi!M24)</f>
        <v/>
      </c>
      <c r="C26" s="26" t="str">
        <f>IF(Transaksi!N24="","",Transaksi!N24)</f>
        <v/>
      </c>
      <c r="D26" s="26" t="str">
        <f>IF(Transaksi!Q24="","",Transaksi!Q24)</f>
        <v/>
      </c>
    </row>
    <row r="27" spans="1:4" ht="9" customHeight="1">
      <c r="A27" s="18" t="str">
        <f>IF(Transaksi!K25="","",Transaksi!K25)</f>
        <v/>
      </c>
      <c r="B27" s="18" t="str">
        <f>IF(Transaksi!M25="","",Transaksi!M25)</f>
        <v/>
      </c>
      <c r="C27" s="26" t="str">
        <f>IF(Transaksi!N25="","",Transaksi!N25)</f>
        <v/>
      </c>
      <c r="D27" s="26" t="str">
        <f>IF(Transaksi!Q25="","",Transaksi!Q25)</f>
        <v/>
      </c>
    </row>
    <row r="28" spans="1:4" ht="9" customHeight="1">
      <c r="A28" s="18" t="str">
        <f>IF(Transaksi!K26="","",Transaksi!K26)</f>
        <v/>
      </c>
      <c r="B28" s="18" t="str">
        <f>IF(Transaksi!M26="","",Transaksi!M26)</f>
        <v/>
      </c>
      <c r="C28" s="26" t="str">
        <f>IF(Transaksi!N26="","",Transaksi!N26)</f>
        <v/>
      </c>
      <c r="D28" s="26" t="str">
        <f>IF(Transaksi!Q26="","",Transaksi!Q26)</f>
        <v/>
      </c>
    </row>
    <row r="29" spans="1:4" ht="9" customHeight="1">
      <c r="A29" s="20" t="str">
        <f>IF(Transaksi!K27="","",Transaksi!K27)</f>
        <v/>
      </c>
      <c r="B29" s="20" t="str">
        <f>IF(Transaksi!M27="","",Transaksi!M27)</f>
        <v/>
      </c>
      <c r="C29" s="27" t="str">
        <f>IF(Transaksi!N27="","",Transaksi!N27)</f>
        <v/>
      </c>
      <c r="D29" s="27" t="str">
        <f>IF(Transaksi!Q27="","",Transaksi!Q27)</f>
        <v/>
      </c>
    </row>
    <row r="30" spans="1:4" ht="3.75" customHeight="1">
      <c r="A30" s="18"/>
      <c r="B30" s="18"/>
      <c r="C30" s="18"/>
      <c r="D30" s="18"/>
    </row>
    <row r="31" spans="1:4" ht="9" customHeight="1">
      <c r="A31" s="18" t="s">
        <v>11</v>
      </c>
      <c r="B31" s="22" t="s">
        <v>5</v>
      </c>
      <c r="C31" s="53">
        <v>0</v>
      </c>
      <c r="D31" s="54"/>
    </row>
    <row r="32" spans="1:4" ht="9" customHeight="1">
      <c r="A32" s="18" t="s">
        <v>35</v>
      </c>
      <c r="B32" s="22" t="s">
        <v>5</v>
      </c>
      <c r="C32" s="53">
        <v>0</v>
      </c>
      <c r="D32" s="53"/>
    </row>
    <row r="33" spans="1:4" ht="9" customHeight="1">
      <c r="A33" s="20" t="s">
        <v>36</v>
      </c>
      <c r="B33" s="23" t="s">
        <v>5</v>
      </c>
      <c r="C33" s="55">
        <f>$C$32-$C$31</f>
        <v>0</v>
      </c>
      <c r="D33" s="55"/>
    </row>
    <row r="34" spans="1:4" ht="9" customHeight="1">
      <c r="A34" s="18"/>
      <c r="B34" s="18"/>
      <c r="C34" s="18"/>
      <c r="D34" s="18"/>
    </row>
    <row r="35" spans="1:4" ht="9" customHeight="1">
      <c r="A35" s="56" t="s">
        <v>37</v>
      </c>
      <c r="B35" s="56"/>
      <c r="C35" s="56"/>
      <c r="D35" s="56"/>
    </row>
  </sheetData>
  <mergeCells count="12">
    <mergeCell ref="C31:D31"/>
    <mergeCell ref="C32:D32"/>
    <mergeCell ref="C33:D33"/>
    <mergeCell ref="A35:D35"/>
    <mergeCell ref="A1:D1"/>
    <mergeCell ref="A2:D2"/>
    <mergeCell ref="C4:D4"/>
    <mergeCell ref="C5:D5"/>
    <mergeCell ref="C6:D7"/>
    <mergeCell ref="C8:D8"/>
    <mergeCell ref="C9:D9"/>
    <mergeCell ref="B6:B7"/>
  </mergeCells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494A7-4958-4ED8-805E-DF728D52B9E7}">
  <sheetPr codeName="Sheet8"/>
  <dimension ref="A4:Q9"/>
  <sheetViews>
    <sheetView workbookViewId="0">
      <selection activeCell="G15" sqref="G15"/>
    </sheetView>
  </sheetViews>
  <sheetFormatPr defaultRowHeight="14.25"/>
  <cols>
    <col min="1" max="2" width="19" customWidth="1"/>
    <col min="3" max="3" width="17" customWidth="1"/>
    <col min="4" max="4" width="19.75" customWidth="1"/>
    <col min="5" max="5" width="10.375" bestFit="1" customWidth="1"/>
    <col min="6" max="6" width="13.625" bestFit="1" customWidth="1"/>
    <col min="7" max="7" width="10.625" bestFit="1" customWidth="1"/>
    <col min="8" max="8" width="2.25" customWidth="1"/>
    <col min="10" max="10" width="2.25" customWidth="1"/>
    <col min="11" max="11" width="16.125" customWidth="1"/>
    <col min="12" max="12" width="17.75" customWidth="1"/>
    <col min="13" max="13" width="20.375" customWidth="1"/>
    <col min="14" max="14" width="16.125" customWidth="1"/>
    <col min="15" max="15" width="10.375" bestFit="1" customWidth="1"/>
    <col min="16" max="16" width="13.625" bestFit="1" customWidth="1"/>
    <col min="17" max="17" width="10.625" bestFit="1" customWidth="1"/>
  </cols>
  <sheetData>
    <row r="4" spans="1:17">
      <c r="A4" s="10" t="s">
        <v>23</v>
      </c>
      <c r="B4" s="10" t="s">
        <v>14</v>
      </c>
      <c r="C4" s="10" t="s">
        <v>7</v>
      </c>
      <c r="D4" s="10" t="s">
        <v>38</v>
      </c>
      <c r="E4" s="10" t="s">
        <v>39</v>
      </c>
      <c r="F4" s="10" t="s">
        <v>40</v>
      </c>
      <c r="G4" s="10" t="s">
        <v>41</v>
      </c>
      <c r="I4" s="10" t="s">
        <v>7</v>
      </c>
      <c r="K4" s="10" t="s">
        <v>23</v>
      </c>
      <c r="L4" s="10" t="s">
        <v>14</v>
      </c>
      <c r="M4" s="10" t="s">
        <v>7</v>
      </c>
      <c r="N4" s="10" t="s">
        <v>38</v>
      </c>
      <c r="O4" s="10" t="s">
        <v>39</v>
      </c>
      <c r="P4" s="10" t="s">
        <v>40</v>
      </c>
      <c r="Q4" s="10" t="s">
        <v>41</v>
      </c>
    </row>
    <row r="5" spans="1:17">
      <c r="A5" s="28">
        <v>45458</v>
      </c>
      <c r="B5" t="s">
        <v>57</v>
      </c>
      <c r="C5" t="s">
        <v>58</v>
      </c>
      <c r="D5" t="s">
        <v>70</v>
      </c>
      <c r="E5">
        <v>58</v>
      </c>
      <c r="F5">
        <v>3</v>
      </c>
      <c r="G5">
        <v>61</v>
      </c>
    </row>
    <row r="6" spans="1:17">
      <c r="A6" s="28"/>
    </row>
    <row r="7" spans="1:17">
      <c r="A7" s="28"/>
    </row>
    <row r="8" spans="1:17">
      <c r="A8" s="28"/>
    </row>
    <row r="9" spans="1:17">
      <c r="A9" s="2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8</vt:i4>
      </vt:variant>
    </vt:vector>
  </HeadingPairs>
  <TitlesOfParts>
    <vt:vector size="17" baseType="lpstr">
      <vt:lpstr>Transaksi</vt:lpstr>
      <vt:lpstr>Dashboard</vt:lpstr>
      <vt:lpstr>LaporanTransaksi</vt:lpstr>
      <vt:lpstr>DataBaseBarang</vt:lpstr>
      <vt:lpstr>Supplier</vt:lpstr>
      <vt:lpstr>Customer</vt:lpstr>
      <vt:lpstr>DataToko</vt:lpstr>
      <vt:lpstr>Struk</vt:lpstr>
      <vt:lpstr>StockUpdate</vt:lpstr>
      <vt:lpstr>Customer!Criteria</vt:lpstr>
      <vt:lpstr>DataBaseBarang!Criteria</vt:lpstr>
      <vt:lpstr>LaporanTransaksi!Criteria</vt:lpstr>
      <vt:lpstr>Supplier!Criteria</vt:lpstr>
      <vt:lpstr>Customer!Extract</vt:lpstr>
      <vt:lpstr>DataBaseBarang!Extract</vt:lpstr>
      <vt:lpstr>LaporanTransaksi!Extract</vt:lpstr>
      <vt:lpstr>Supplier!Extract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dhiki fernando</dc:creator>
  <cp:lastModifiedBy>Dhiki Pernando</cp:lastModifiedBy>
  <cp:lastPrinted>2024-05-11T09:41:01Z</cp:lastPrinted>
  <dcterms:created xsi:type="dcterms:W3CDTF">2024-04-17T06:35:52Z</dcterms:created>
  <dcterms:modified xsi:type="dcterms:W3CDTF">2024-08-29T02:01:38Z</dcterms:modified>
</cp:coreProperties>
</file>